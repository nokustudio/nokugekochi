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Zoho WorkDrive (Noku Studio)\Projects - Ongoing\Good Earth Kochi\Catalogue\Theme-wise\"/>
    </mc:Choice>
  </mc:AlternateContent>
  <xr:revisionPtr revIDLastSave="0" documentId="13_ncr:1_{D00FAAD6-4B92-49EC-BE28-C1C101230A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Stillness" sheetId="2" r:id="rId1"/>
    <sheet name="Ofmemories" sheetId="1" r:id="rId2"/>
    <sheet name="Theme 3" sheetId="3" r:id="rId3"/>
  </sheets>
  <definedNames>
    <definedName name="_xlnm._FilterDatabase" localSheetId="1" hidden="1">Ofmemories!$A$1:$I$36</definedName>
    <definedName name="_xlnm._FilterDatabase" localSheetId="0" hidden="1">OfStillness!$A$1:$I$46</definedName>
    <definedName name="_xlnm._FilterDatabase" localSheetId="2" hidden="1">'Theme 3'!$A$1:$I$38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2" l="1"/>
  <c r="B51" i="2"/>
  <c r="I50" i="2"/>
  <c r="B50" i="2"/>
  <c r="I49" i="2"/>
  <c r="B49" i="2"/>
  <c r="I48" i="2"/>
  <c r="B48" i="2"/>
  <c r="I47" i="2"/>
  <c r="B47" i="2" l="1"/>
  <c r="I23" i="2"/>
  <c r="B23" i="2"/>
  <c r="I17" i="3" l="1"/>
  <c r="I45" i="2"/>
  <c r="I46" i="2"/>
  <c r="I35" i="2"/>
  <c r="I44" i="2"/>
  <c r="I43" i="2"/>
  <c r="I40" i="2"/>
  <c r="B14" i="3" l="1"/>
  <c r="B15" i="3"/>
  <c r="B13" i="3"/>
  <c r="B46" i="3"/>
  <c r="B45" i="3"/>
  <c r="B44" i="3"/>
  <c r="B43" i="3"/>
  <c r="B42" i="3"/>
  <c r="B41" i="3"/>
  <c r="B40" i="3"/>
  <c r="B39" i="3"/>
  <c r="B38" i="3"/>
  <c r="B37" i="3"/>
  <c r="B36" i="3"/>
  <c r="I35" i="3"/>
  <c r="B35" i="3"/>
  <c r="I34" i="3"/>
  <c r="B34" i="3"/>
  <c r="I33" i="3"/>
  <c r="B33" i="3"/>
  <c r="I32" i="3"/>
  <c r="B32" i="3"/>
  <c r="I31" i="3"/>
  <c r="B31" i="3"/>
  <c r="I30" i="3"/>
  <c r="B30" i="3"/>
  <c r="I29" i="3"/>
  <c r="B29" i="3"/>
  <c r="I27" i="3"/>
  <c r="B27" i="3"/>
  <c r="I26" i="3"/>
  <c r="B26" i="3"/>
  <c r="I25" i="3"/>
  <c r="B25" i="3"/>
  <c r="I24" i="3"/>
  <c r="B24" i="3"/>
  <c r="I23" i="3"/>
  <c r="B23" i="3"/>
  <c r="I22" i="3"/>
  <c r="B22" i="3"/>
  <c r="I21" i="3"/>
  <c r="B21" i="3"/>
  <c r="I20" i="3"/>
  <c r="B20" i="3"/>
  <c r="I19" i="3"/>
  <c r="B19" i="3"/>
  <c r="I18" i="3"/>
  <c r="B18" i="3"/>
  <c r="I16" i="3"/>
  <c r="B16" i="3"/>
  <c r="I15" i="3"/>
  <c r="I14" i="3"/>
  <c r="I13" i="3"/>
  <c r="I12" i="3"/>
  <c r="B12" i="3"/>
  <c r="I11" i="3"/>
  <c r="B11" i="3"/>
  <c r="I10" i="3"/>
  <c r="B10" i="3"/>
  <c r="I9" i="3"/>
  <c r="B9" i="3"/>
  <c r="I8" i="3"/>
  <c r="B8" i="3"/>
  <c r="I7" i="3"/>
  <c r="B7" i="3"/>
  <c r="I6" i="3"/>
  <c r="B6" i="3"/>
  <c r="I5" i="3"/>
  <c r="B5" i="3"/>
  <c r="I4" i="3"/>
  <c r="B4" i="3"/>
  <c r="I3" i="3"/>
  <c r="B3" i="3"/>
  <c r="I2" i="3"/>
  <c r="B2" i="3"/>
  <c r="I16" i="2"/>
  <c r="B16" i="2"/>
  <c r="I37" i="2"/>
  <c r="B37" i="2"/>
  <c r="B44" i="1"/>
  <c r="I40" i="1"/>
  <c r="I41" i="1"/>
  <c r="I42" i="1"/>
  <c r="I43" i="1"/>
  <c r="I39" i="1"/>
  <c r="I38" i="1"/>
  <c r="I37" i="1"/>
  <c r="B37" i="1" l="1"/>
  <c r="B38" i="1"/>
  <c r="B39" i="1"/>
  <c r="B40" i="1"/>
  <c r="B41" i="1"/>
  <c r="B42" i="1"/>
  <c r="B43" i="1"/>
  <c r="B46" i="2"/>
  <c r="B45" i="2"/>
  <c r="B43" i="2"/>
  <c r="I39" i="2"/>
  <c r="B39" i="2"/>
  <c r="I38" i="2"/>
  <c r="B38" i="2"/>
  <c r="I36" i="2"/>
  <c r="B36" i="2"/>
  <c r="I34" i="2"/>
  <c r="B34" i="2"/>
  <c r="I33" i="2"/>
  <c r="B33" i="2"/>
  <c r="I32" i="2"/>
  <c r="B32" i="2"/>
  <c r="I31" i="2"/>
  <c r="B31" i="2"/>
  <c r="I30" i="2"/>
  <c r="B30" i="2"/>
  <c r="I29" i="2"/>
  <c r="B29" i="2"/>
  <c r="I28" i="2"/>
  <c r="B28" i="2"/>
  <c r="I27" i="2"/>
  <c r="B27" i="2"/>
  <c r="I26" i="2"/>
  <c r="B26" i="2"/>
  <c r="I25" i="2"/>
  <c r="B25" i="2"/>
  <c r="I24" i="2"/>
  <c r="B24" i="2"/>
  <c r="I22" i="2"/>
  <c r="B22" i="2"/>
  <c r="I21" i="2"/>
  <c r="B21" i="2"/>
  <c r="I20" i="2"/>
  <c r="B20" i="2"/>
  <c r="I19" i="2"/>
  <c r="B19" i="2"/>
  <c r="I18" i="2"/>
  <c r="B18" i="2"/>
  <c r="I17" i="2"/>
  <c r="B17" i="2"/>
  <c r="I15" i="2"/>
  <c r="B15" i="2"/>
  <c r="I14" i="2"/>
  <c r="B14" i="2"/>
  <c r="I13" i="2"/>
  <c r="B13" i="2"/>
  <c r="I12" i="2"/>
  <c r="B12" i="2"/>
  <c r="I11" i="2"/>
  <c r="B11" i="2"/>
  <c r="I10" i="2"/>
  <c r="B10" i="2"/>
  <c r="I9" i="2"/>
  <c r="B9" i="2"/>
  <c r="I8" i="2"/>
  <c r="B8" i="2"/>
  <c r="I7" i="2"/>
  <c r="B7" i="2"/>
  <c r="I6" i="2"/>
  <c r="B6" i="2"/>
  <c r="I5" i="2"/>
  <c r="B5" i="2"/>
  <c r="I4" i="2"/>
  <c r="B4" i="2"/>
  <c r="I3" i="2"/>
  <c r="B3" i="2"/>
  <c r="I2" i="2"/>
  <c r="B2" i="2"/>
  <c r="I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" i="1"/>
  <c r="I11" i="1"/>
  <c r="I12" i="1"/>
  <c r="I2" i="1"/>
  <c r="I3" i="1"/>
  <c r="I4" i="1"/>
  <c r="I19" i="1"/>
  <c r="I20" i="1"/>
  <c r="I21" i="1"/>
  <c r="I22" i="1"/>
  <c r="I23" i="1"/>
  <c r="I24" i="1"/>
  <c r="I13" i="1"/>
  <c r="I14" i="1"/>
  <c r="I15" i="1"/>
  <c r="I16" i="1"/>
  <c r="I17" i="1"/>
  <c r="I18" i="1"/>
  <c r="I25" i="1"/>
  <c r="I5" i="1"/>
  <c r="I26" i="1"/>
  <c r="I6" i="1"/>
  <c r="I27" i="1"/>
  <c r="I7" i="1"/>
  <c r="I28" i="1"/>
  <c r="I29" i="1"/>
  <c r="I30" i="1"/>
  <c r="I31" i="1"/>
  <c r="I9" i="1"/>
  <c r="I36" i="1"/>
  <c r="I32" i="1"/>
  <c r="I33" i="1"/>
  <c r="I34" i="1"/>
  <c r="I35" i="1"/>
  <c r="I10" i="1"/>
</calcChain>
</file>

<file path=xl/sharedStrings.xml><?xml version="1.0" encoding="utf-8"?>
<sst xmlns="http://schemas.openxmlformats.org/spreadsheetml/2006/main" count="288" uniqueCount="153">
  <si>
    <t>W</t>
  </si>
  <si>
    <t>D</t>
  </si>
  <si>
    <t>H</t>
  </si>
  <si>
    <t>SH</t>
  </si>
  <si>
    <t>Product</t>
  </si>
  <si>
    <t>Barstool 01B</t>
  </si>
  <si>
    <t>Barstool 03</t>
  </si>
  <si>
    <t>Barstool 11</t>
  </si>
  <si>
    <t>Bed 01</t>
  </si>
  <si>
    <t>Bed 04</t>
  </si>
  <si>
    <t>Centre Table 11</t>
  </si>
  <si>
    <t>Centre Table 23</t>
  </si>
  <si>
    <t>Chair 06</t>
  </si>
  <si>
    <t>Dining Chair 05</t>
  </si>
  <si>
    <t>Dining Table 03</t>
  </si>
  <si>
    <t>Dining Table 31</t>
  </si>
  <si>
    <t>Foyer Unit 01</t>
  </si>
  <si>
    <t>Side Table 01</t>
  </si>
  <si>
    <t>Side Table 08</t>
  </si>
  <si>
    <t>Side Table 31</t>
  </si>
  <si>
    <t>Side Table 42</t>
  </si>
  <si>
    <t>Sofa 02</t>
  </si>
  <si>
    <t>Sofa 03</t>
  </si>
  <si>
    <t>Sofa 23</t>
  </si>
  <si>
    <t>Storage Unit 16</t>
  </si>
  <si>
    <t>Storage Unit 25</t>
  </si>
  <si>
    <t>Storage Unit 29</t>
  </si>
  <si>
    <t>Storage Unit 34</t>
  </si>
  <si>
    <t>Study Table 11</t>
  </si>
  <si>
    <t>Swing 06 B</t>
  </si>
  <si>
    <t>TV Unit 09 A</t>
  </si>
  <si>
    <t>TV Unit 29</t>
  </si>
  <si>
    <t>TV Unit 03</t>
  </si>
  <si>
    <t>MH</t>
  </si>
  <si>
    <t>Bench 03</t>
  </si>
  <si>
    <t>Space</t>
  </si>
  <si>
    <t>Dining</t>
  </si>
  <si>
    <t>Bedroom</t>
  </si>
  <si>
    <t>Living</t>
  </si>
  <si>
    <t>Study</t>
  </si>
  <si>
    <t>Bed 47 B</t>
  </si>
  <si>
    <t>Dining Chair 44 C</t>
  </si>
  <si>
    <t>Dining Chair 09 A</t>
  </si>
  <si>
    <t>Chair 42 A</t>
  </si>
  <si>
    <t>Side Table 02 A</t>
  </si>
  <si>
    <t>Bench 20 B</t>
  </si>
  <si>
    <t>Study Chair 07</t>
  </si>
  <si>
    <t>Dimension</t>
  </si>
  <si>
    <t>Barstool 05 B</t>
  </si>
  <si>
    <t>Barstool 12 B</t>
  </si>
  <si>
    <t>Barstool 14</t>
  </si>
  <si>
    <t>Bed 27 A</t>
  </si>
  <si>
    <t>Bed 37 B</t>
  </si>
  <si>
    <t>Bed 39</t>
  </si>
  <si>
    <t>Bed 42 A</t>
  </si>
  <si>
    <t>Bed 58 A</t>
  </si>
  <si>
    <t>Centre Table 09 A</t>
  </si>
  <si>
    <t>Centre Table 26</t>
  </si>
  <si>
    <t>Centre Table 32</t>
  </si>
  <si>
    <t>Centre Table 34 B</t>
  </si>
  <si>
    <t>Chair 01</t>
  </si>
  <si>
    <t>Chair 11 C</t>
  </si>
  <si>
    <t>Chair 16</t>
  </si>
  <si>
    <t>Chair 28</t>
  </si>
  <si>
    <t>Dining Table 39 B</t>
  </si>
  <si>
    <t>Dining Table 43 B</t>
  </si>
  <si>
    <t>Diwan 01</t>
  </si>
  <si>
    <t>Dresser 03</t>
  </si>
  <si>
    <t>Foyer Unit 10</t>
  </si>
  <si>
    <t>Side Table 05</t>
  </si>
  <si>
    <t>Side Table 14</t>
  </si>
  <si>
    <t>Side Table 26</t>
  </si>
  <si>
    <t>Sofa 12 A</t>
  </si>
  <si>
    <t>Sofa 22 B</t>
  </si>
  <si>
    <t>Sofabed 03 C</t>
  </si>
  <si>
    <t>Storage Unit 30 B</t>
  </si>
  <si>
    <t>Storage Unit 31</t>
  </si>
  <si>
    <t>Storage Unit 39</t>
  </si>
  <si>
    <t>Study Table 19</t>
  </si>
  <si>
    <t>Study Table 21</t>
  </si>
  <si>
    <t>Swing 04 C</t>
  </si>
  <si>
    <t>Swing 05 A 3</t>
  </si>
  <si>
    <t>Swing 09</t>
  </si>
  <si>
    <t>Dining Chair 03</t>
  </si>
  <si>
    <t>Study Chair 13</t>
  </si>
  <si>
    <t>Dining Chair 29</t>
  </si>
  <si>
    <t>Bench 14 A</t>
  </si>
  <si>
    <t>Centre Table 40 A</t>
  </si>
  <si>
    <t>Dining Chair 48</t>
  </si>
  <si>
    <t>Sofa 16 C</t>
  </si>
  <si>
    <t>Study chair 56</t>
  </si>
  <si>
    <t>Swing 04</t>
  </si>
  <si>
    <t>Study Chair 12 C</t>
  </si>
  <si>
    <t>Barstool 16</t>
  </si>
  <si>
    <t>Bed 44 E</t>
  </si>
  <si>
    <t>Bed 51 H</t>
  </si>
  <si>
    <t>Chair 40 A</t>
  </si>
  <si>
    <t>Storage unit 14 B</t>
  </si>
  <si>
    <t>Bench 31</t>
  </si>
  <si>
    <t>Bench 25 A</t>
  </si>
  <si>
    <t>Barstool 10 D</t>
  </si>
  <si>
    <t>Bench 32</t>
  </si>
  <si>
    <t>Centre Table 12</t>
  </si>
  <si>
    <t>Centre Table 14</t>
  </si>
  <si>
    <t>Centre Table 18</t>
  </si>
  <si>
    <t>Chair 30 A</t>
  </si>
  <si>
    <t>Chair 46 B</t>
  </si>
  <si>
    <t>Dining Table 14</t>
  </si>
  <si>
    <t>Dining Table 33</t>
  </si>
  <si>
    <t>Dresser 01</t>
  </si>
  <si>
    <t>Foyer Table 12</t>
  </si>
  <si>
    <t>Side Table 16 B</t>
  </si>
  <si>
    <t>Side Table 43 B</t>
  </si>
  <si>
    <t>Side Table 44 B</t>
  </si>
  <si>
    <t>Side Table 46</t>
  </si>
  <si>
    <t>Side Table 50</t>
  </si>
  <si>
    <t>Side Table 55</t>
  </si>
  <si>
    <t>Sofa 28 A</t>
  </si>
  <si>
    <t>Sofa 31 B</t>
  </si>
  <si>
    <t>Sofa 33</t>
  </si>
  <si>
    <t>Study Table 23</t>
  </si>
  <si>
    <t>Swing 07 A</t>
  </si>
  <si>
    <t>Swing 12 A</t>
  </si>
  <si>
    <t>TV Unit 15 A</t>
  </si>
  <si>
    <t>Website</t>
  </si>
  <si>
    <t>Salem Drawings</t>
  </si>
  <si>
    <t>Website Drawings</t>
  </si>
  <si>
    <t>2:2.5 Image</t>
  </si>
  <si>
    <t>Cutlist</t>
  </si>
  <si>
    <t>Colour Correction</t>
  </si>
  <si>
    <t>Detail Shot</t>
  </si>
  <si>
    <t>Study Table 02</t>
  </si>
  <si>
    <t>Drawings</t>
  </si>
  <si>
    <t>Outdoor</t>
  </si>
  <si>
    <t>sofa-28-A</t>
  </si>
  <si>
    <t>chair-27</t>
  </si>
  <si>
    <t>Chair 27</t>
  </si>
  <si>
    <t>205cm x 176cm x 84cm(H) X SH- 41 cm</t>
  </si>
  <si>
    <t>67cm x 75cm x 71cm(H) X SH- 36 cm</t>
  </si>
  <si>
    <t>Centre Table 13</t>
  </si>
  <si>
    <t>Sofa 28 C</t>
  </si>
  <si>
    <t>Sofa 36 A</t>
  </si>
  <si>
    <t>Side Table 02 C</t>
  </si>
  <si>
    <t>Centre Table 02 A</t>
  </si>
  <si>
    <t>Storage Unit 45 B</t>
  </si>
  <si>
    <t>product is in theme 1 but not in Umang</t>
  </si>
  <si>
    <t>product is in theme 1 &amp; umang</t>
  </si>
  <si>
    <t>product is not in theme 1 but is in Umang</t>
  </si>
  <si>
    <t>bed height wrong</t>
  </si>
  <si>
    <t>seat height doesn’t match side and front view</t>
  </si>
  <si>
    <t>side view has extra dimensions</t>
  </si>
  <si>
    <t>no drawings</t>
  </si>
  <si>
    <t>is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</si>
</sst>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6" fillId="6" borderId="0" applyNumberFormat="0" applyBorder="0" applyAlignment="0" applyProtection="0"/>
    <xf numFmtId="0" fontId="5" fillId="7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4" borderId="0" xfId="1" applyAlignment="1">
      <alignment vertical="center"/>
    </xf>
    <xf numFmtId="0" fontId="4" fillId="5" borderId="0" xfId="2" applyAlignment="1">
      <alignment horizontal="center" vertical="center"/>
    </xf>
    <xf numFmtId="0" fontId="6" fillId="6" borderId="0" xfId="3" applyAlignment="1">
      <alignment vertical="center"/>
    </xf>
    <xf numFmtId="0" fontId="5" fillId="7" borderId="0" xfId="4" applyAlignment="1">
      <alignment vertical="center"/>
    </xf>
    <xf numFmtId="0" fontId="3" fillId="4" borderId="0" xfId="1"/>
    <xf numFmtId="0" fontId="4" fillId="5" borderId="0" xfId="2"/>
  </cellXfs>
  <cellStyles count="5">
    <cellStyle name="60% - Accent2" xfId="4" builtinId="36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topLeftCell="A16" zoomScaleNormal="100" workbookViewId="0">
      <selection activeCell="H29" sqref="H29"/>
    </sheetView>
  </sheetViews>
  <sheetFormatPr defaultColWidth="9.140625" defaultRowHeight="15" x14ac:dyDescent="0.25"/>
  <cols>
    <col min="1" max="1" width="11.7109375" style="1" customWidth="1"/>
    <col min="2" max="2" width="18.140625" style="1" customWidth="1"/>
    <col min="3" max="3" width="30" style="2" customWidth="1"/>
    <col min="4" max="6" width="11.28515625" style="3" customWidth="1"/>
    <col min="7" max="7" width="9.140625" style="3"/>
    <col min="8" max="8" width="9.140625" style="1"/>
    <col min="9" max="9" width="37" style="1" customWidth="1"/>
    <col min="10" max="11" width="9.140625" style="1"/>
    <col min="12" max="12" width="16.7109375" style="1" bestFit="1" customWidth="1"/>
    <col min="13" max="13" width="10.7109375" style="1" bestFit="1" customWidth="1"/>
    <col min="14" max="14" width="11" style="1" bestFit="1" customWidth="1"/>
    <col min="15" max="15" width="15.140625" style="1" bestFit="1" customWidth="1"/>
    <col min="16" max="16" width="17.28515625" style="1" bestFit="1" customWidth="1"/>
    <col min="17" max="16384" width="9.140625" style="1"/>
  </cols>
  <sheetData>
    <row r="1" spans="1:17" x14ac:dyDescent="0.25">
      <c r="A1" s="5" t="s">
        <v>35</v>
      </c>
      <c r="B1" s="5"/>
      <c r="C1" s="6" t="s">
        <v>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33</v>
      </c>
      <c r="I1" s="5" t="s">
        <v>47</v>
      </c>
      <c r="J1" s="1" t="s">
        <v>124</v>
      </c>
      <c r="K1" s="1" t="s">
        <v>128</v>
      </c>
      <c r="L1" s="1" t="s">
        <v>129</v>
      </c>
      <c r="M1" s="1" t="s">
        <v>130</v>
      </c>
      <c r="N1" s="1" t="s">
        <v>127</v>
      </c>
      <c r="O1" s="1" t="s">
        <v>125</v>
      </c>
      <c r="P1" s="1" t="s">
        <v>126</v>
      </c>
      <c r="Q1" s="1" t="s">
        <v>132</v>
      </c>
    </row>
    <row r="2" spans="1:17" x14ac:dyDescent="0.25">
      <c r="A2" s="1" t="s">
        <v>37</v>
      </c>
      <c r="B2" s="14" t="str">
        <f>SUBSTITUTE(LOWER(C2)," ","-")</f>
        <v>bed-01</v>
      </c>
      <c r="C2" s="2" t="s">
        <v>8</v>
      </c>
      <c r="D2" s="3">
        <v>194</v>
      </c>
      <c r="E2" s="3">
        <v>210</v>
      </c>
      <c r="F2" s="3">
        <v>92</v>
      </c>
      <c r="H2" s="1">
        <v>50</v>
      </c>
      <c r="I2" t="str">
        <f t="shared" ref="I2:I51" si="0">D2 &amp; "cm x " &amp; E2 &amp; "cm x " &amp; F2 &amp; "cm (H) x SH-" &amp; G2 &amp; "cm"</f>
        <v>194cm x 210cm x 92cm (H) x SH-cm</v>
      </c>
      <c r="Q2" s="18"/>
    </row>
    <row r="3" spans="1:17" x14ac:dyDescent="0.25">
      <c r="A3" s="1" t="s">
        <v>37</v>
      </c>
      <c r="B3" s="14" t="str">
        <f t="shared" ref="B3:B51" si="1">SUBSTITUTE(LOWER(C3)," ","-")</f>
        <v>bed-04</v>
      </c>
      <c r="C3" s="2" t="s">
        <v>9</v>
      </c>
      <c r="D3" s="3">
        <v>204</v>
      </c>
      <c r="E3" s="3">
        <v>220</v>
      </c>
      <c r="F3" s="3">
        <v>197</v>
      </c>
      <c r="H3" s="1">
        <v>48</v>
      </c>
      <c r="I3" t="str">
        <f t="shared" si="0"/>
        <v>204cm x 220cm x 197cm (H) x SH-cm</v>
      </c>
      <c r="Q3" s="18"/>
    </row>
    <row r="4" spans="1:17" x14ac:dyDescent="0.25">
      <c r="A4" s="1" t="s">
        <v>37</v>
      </c>
      <c r="B4" s="14" t="str">
        <f t="shared" si="1"/>
        <v>bed-47-b</v>
      </c>
      <c r="C4" s="2" t="s">
        <v>40</v>
      </c>
      <c r="D4" s="3">
        <v>196</v>
      </c>
      <c r="E4" s="3">
        <v>208</v>
      </c>
      <c r="F4" s="3">
        <v>112</v>
      </c>
      <c r="H4" s="1">
        <v>50</v>
      </c>
      <c r="I4" t="str">
        <f t="shared" si="0"/>
        <v>196cm x 208cm x 112cm (H) x SH-cm</v>
      </c>
      <c r="Q4" s="19" t="s">
        <v>148</v>
      </c>
    </row>
    <row r="5" spans="1:17" x14ac:dyDescent="0.25">
      <c r="A5" s="1" t="s">
        <v>37</v>
      </c>
      <c r="B5" s="14" t="str">
        <f t="shared" si="1"/>
        <v>side-table-01</v>
      </c>
      <c r="C5" s="2" t="s">
        <v>17</v>
      </c>
      <c r="D5" s="3">
        <v>48</v>
      </c>
      <c r="E5" s="3">
        <v>48</v>
      </c>
      <c r="F5" s="3">
        <v>49</v>
      </c>
      <c r="I5" t="str">
        <f t="shared" si="0"/>
        <v>48cm x 48cm x 49cm (H) x SH-cm</v>
      </c>
      <c r="Q5" s="18"/>
    </row>
    <row r="6" spans="1:17" x14ac:dyDescent="0.25">
      <c r="A6" s="1" t="s">
        <v>37</v>
      </c>
      <c r="B6" s="14" t="str">
        <f t="shared" si="1"/>
        <v>side-table-08</v>
      </c>
      <c r="C6" s="2" t="s">
        <v>18</v>
      </c>
      <c r="D6" s="3">
        <v>56</v>
      </c>
      <c r="E6" s="3">
        <v>40</v>
      </c>
      <c r="F6" s="3">
        <v>45</v>
      </c>
      <c r="I6" t="str">
        <f t="shared" si="0"/>
        <v>56cm x 40cm x 45cm (H) x SH-cm</v>
      </c>
      <c r="Q6" s="18"/>
    </row>
    <row r="7" spans="1:17" x14ac:dyDescent="0.25">
      <c r="A7" s="1" t="s">
        <v>37</v>
      </c>
      <c r="B7" s="14" t="str">
        <f t="shared" si="1"/>
        <v>side-table-42</v>
      </c>
      <c r="C7" s="2" t="s">
        <v>20</v>
      </c>
      <c r="D7" s="3">
        <v>46</v>
      </c>
      <c r="E7" s="3">
        <v>41</v>
      </c>
      <c r="F7" s="3">
        <v>46</v>
      </c>
      <c r="I7" t="str">
        <f t="shared" si="0"/>
        <v>46cm x 41cm x 46cm (H) x SH-cm</v>
      </c>
      <c r="K7"/>
      <c r="L7"/>
      <c r="M7"/>
      <c r="Q7" s="18"/>
    </row>
    <row r="8" spans="1:17" x14ac:dyDescent="0.25">
      <c r="A8" s="1" t="s">
        <v>37</v>
      </c>
      <c r="B8" s="16" t="str">
        <f t="shared" si="1"/>
        <v>storage-unit-25</v>
      </c>
      <c r="C8" s="2" t="s">
        <v>25</v>
      </c>
      <c r="D8" s="3">
        <v>123</v>
      </c>
      <c r="E8" s="3">
        <v>40</v>
      </c>
      <c r="F8" s="3">
        <v>100</v>
      </c>
      <c r="I8" t="str">
        <f t="shared" si="0"/>
        <v>123cm x 40cm x 100cm (H) x SH-cm</v>
      </c>
      <c r="J8" s="13"/>
      <c r="K8"/>
      <c r="L8"/>
      <c r="M8"/>
      <c r="Q8" s="18"/>
    </row>
    <row r="9" spans="1:17" x14ac:dyDescent="0.25">
      <c r="A9" s="1" t="s">
        <v>37</v>
      </c>
      <c r="B9" s="14" t="str">
        <f t="shared" si="1"/>
        <v>storage-unit-34</v>
      </c>
      <c r="C9" s="2" t="s">
        <v>27</v>
      </c>
      <c r="D9" s="3">
        <v>146</v>
      </c>
      <c r="E9" s="3">
        <v>40</v>
      </c>
      <c r="F9" s="3">
        <v>92</v>
      </c>
      <c r="I9" t="str">
        <f t="shared" si="0"/>
        <v>146cm x 40cm x 92cm (H) x SH-cm</v>
      </c>
      <c r="J9" s="13"/>
      <c r="K9"/>
      <c r="L9"/>
      <c r="M9"/>
      <c r="Q9" s="18"/>
    </row>
    <row r="10" spans="1:17" x14ac:dyDescent="0.25">
      <c r="A10" s="1" t="s">
        <v>36</v>
      </c>
      <c r="B10" s="14" t="str">
        <f t="shared" si="1"/>
        <v>barstool-01b</v>
      </c>
      <c r="C10" s="2" t="s">
        <v>5</v>
      </c>
      <c r="D10" s="3">
        <v>48</v>
      </c>
      <c r="E10" s="3">
        <v>50</v>
      </c>
      <c r="F10" s="3">
        <v>100</v>
      </c>
      <c r="G10" s="3">
        <v>75</v>
      </c>
      <c r="I10" t="str">
        <f t="shared" si="0"/>
        <v>48cm x 50cm x 100cm (H) x SH-75cm</v>
      </c>
      <c r="K10"/>
      <c r="L10"/>
      <c r="M10"/>
      <c r="Q10" s="18"/>
    </row>
    <row r="11" spans="1:17" x14ac:dyDescent="0.25">
      <c r="A11" s="1" t="s">
        <v>36</v>
      </c>
      <c r="B11" s="14" t="str">
        <f t="shared" si="1"/>
        <v>barstool-03</v>
      </c>
      <c r="C11" s="2" t="s">
        <v>6</v>
      </c>
      <c r="D11" s="3">
        <v>40</v>
      </c>
      <c r="E11" s="3">
        <v>44</v>
      </c>
      <c r="F11" s="3">
        <v>101</v>
      </c>
      <c r="G11" s="3">
        <v>75</v>
      </c>
      <c r="I11" t="str">
        <f t="shared" si="0"/>
        <v>40cm x 44cm x 101cm (H) x SH-75cm</v>
      </c>
      <c r="K11"/>
      <c r="L11"/>
      <c r="M11"/>
      <c r="Q11" s="18"/>
    </row>
    <row r="12" spans="1:17" x14ac:dyDescent="0.25">
      <c r="A12" s="1" t="s">
        <v>36</v>
      </c>
      <c r="B12" s="14" t="str">
        <f t="shared" si="1"/>
        <v>barstool-11</v>
      </c>
      <c r="C12" s="2" t="s">
        <v>7</v>
      </c>
      <c r="D12" s="3">
        <v>55</v>
      </c>
      <c r="E12" s="3">
        <v>54</v>
      </c>
      <c r="F12" s="3">
        <v>102</v>
      </c>
      <c r="G12" s="3">
        <v>75</v>
      </c>
      <c r="I12" t="str">
        <f t="shared" si="0"/>
        <v>55cm x 54cm x 102cm (H) x SH-75cm</v>
      </c>
      <c r="K12"/>
      <c r="L12"/>
      <c r="M12"/>
      <c r="Q12" s="18"/>
    </row>
    <row r="13" spans="1:17" x14ac:dyDescent="0.25">
      <c r="A13" s="1" t="s">
        <v>36</v>
      </c>
      <c r="B13" s="14" t="str">
        <f>SUBSTITUTE(LOWER(C13)," ","-")</f>
        <v>dining-chair-44-c</v>
      </c>
      <c r="C13" s="2" t="s">
        <v>41</v>
      </c>
      <c r="D13" s="3">
        <v>45</v>
      </c>
      <c r="E13" s="3">
        <v>52</v>
      </c>
      <c r="F13" s="3">
        <v>79</v>
      </c>
      <c r="G13" s="3">
        <v>45</v>
      </c>
      <c r="I13" t="str">
        <f t="shared" si="0"/>
        <v>45cm x 52cm x 79cm (H) x SH-45cm</v>
      </c>
      <c r="K13"/>
      <c r="L13"/>
      <c r="M13"/>
      <c r="Q13" s="18"/>
    </row>
    <row r="14" spans="1:17" x14ac:dyDescent="0.25">
      <c r="A14" s="1" t="s">
        <v>36</v>
      </c>
      <c r="B14" s="16" t="str">
        <f t="shared" si="1"/>
        <v>dining-chair-05</v>
      </c>
      <c r="C14" s="2" t="s">
        <v>13</v>
      </c>
      <c r="D14" s="3">
        <v>44</v>
      </c>
      <c r="E14" s="3">
        <v>51</v>
      </c>
      <c r="F14" s="3">
        <v>87</v>
      </c>
      <c r="G14" s="3">
        <v>45</v>
      </c>
      <c r="I14" t="str">
        <f t="shared" si="0"/>
        <v>44cm x 51cm x 87cm (H) x SH-45cm</v>
      </c>
      <c r="K14"/>
      <c r="L14"/>
      <c r="M14"/>
      <c r="Q14" s="18"/>
    </row>
    <row r="15" spans="1:17" x14ac:dyDescent="0.25">
      <c r="A15" s="1" t="s">
        <v>36</v>
      </c>
      <c r="B15" s="14" t="str">
        <f t="shared" si="1"/>
        <v>study-chair-07</v>
      </c>
      <c r="C15" s="2" t="s">
        <v>46</v>
      </c>
      <c r="D15" s="3">
        <v>60</v>
      </c>
      <c r="E15" s="3">
        <v>60</v>
      </c>
      <c r="F15" s="3">
        <v>84</v>
      </c>
      <c r="G15" s="3">
        <v>45</v>
      </c>
      <c r="I15" t="str">
        <f t="shared" si="0"/>
        <v>60cm x 60cm x 84cm (H) x SH-45cm</v>
      </c>
      <c r="K15"/>
      <c r="L15"/>
      <c r="M15"/>
      <c r="Q15" s="18"/>
    </row>
    <row r="16" spans="1:17" x14ac:dyDescent="0.25">
      <c r="A16" s="1" t="s">
        <v>36</v>
      </c>
      <c r="B16" s="14" t="str">
        <f t="shared" ref="B16" si="2">SUBSTITUTE(LOWER(C16)," ","-")</f>
        <v>study-chair-12-c</v>
      </c>
      <c r="C16" s="2" t="s">
        <v>92</v>
      </c>
      <c r="D16" s="3">
        <v>54</v>
      </c>
      <c r="E16" s="3">
        <v>61</v>
      </c>
      <c r="F16" s="3">
        <v>89</v>
      </c>
      <c r="G16" s="3">
        <v>45</v>
      </c>
      <c r="I16" t="str">
        <f t="shared" ref="I16" si="3">D16 &amp; "cm x " &amp; E16 &amp; "cm x " &amp; F16 &amp; "cm (H) x SH-" &amp; G16 &amp; "cm"</f>
        <v>54cm x 61cm x 89cm (H) x SH-45cm</v>
      </c>
      <c r="K16"/>
      <c r="L16"/>
      <c r="M16"/>
      <c r="Q16" s="18"/>
    </row>
    <row r="17" spans="1:17" x14ac:dyDescent="0.25">
      <c r="A17" s="1" t="s">
        <v>36</v>
      </c>
      <c r="B17" s="14" t="str">
        <f t="shared" si="1"/>
        <v>dining-chair-09-a</v>
      </c>
      <c r="C17" s="2" t="s">
        <v>42</v>
      </c>
      <c r="D17" s="3">
        <v>50</v>
      </c>
      <c r="E17" s="3">
        <v>50</v>
      </c>
      <c r="F17" s="3">
        <v>77</v>
      </c>
      <c r="G17" s="3">
        <v>45</v>
      </c>
      <c r="I17" t="str">
        <f t="shared" si="0"/>
        <v>50cm x 50cm x 77cm (H) x SH-45cm</v>
      </c>
      <c r="K17"/>
      <c r="L17"/>
      <c r="M17"/>
      <c r="Q17" s="18"/>
    </row>
    <row r="18" spans="1:17" x14ac:dyDescent="0.25">
      <c r="A18" s="1" t="s">
        <v>36</v>
      </c>
      <c r="B18" s="14" t="str">
        <f t="shared" si="1"/>
        <v>dining-table-03</v>
      </c>
      <c r="C18" s="2" t="s">
        <v>14</v>
      </c>
      <c r="D18" s="3">
        <v>198</v>
      </c>
      <c r="E18" s="3">
        <v>92</v>
      </c>
      <c r="F18" s="3">
        <v>75</v>
      </c>
      <c r="I18" t="str">
        <f t="shared" si="0"/>
        <v>198cm x 92cm x 75cm (H) x SH-cm</v>
      </c>
      <c r="K18"/>
      <c r="L18"/>
      <c r="M18"/>
      <c r="Q18" s="18"/>
    </row>
    <row r="19" spans="1:17" x14ac:dyDescent="0.25">
      <c r="A19" s="1" t="s">
        <v>36</v>
      </c>
      <c r="B19" s="16" t="str">
        <f t="shared" si="1"/>
        <v>dining-table-31</v>
      </c>
      <c r="C19" s="2" t="s">
        <v>15</v>
      </c>
      <c r="D19" s="3">
        <v>183</v>
      </c>
      <c r="E19" s="3">
        <v>92</v>
      </c>
      <c r="F19" s="3">
        <v>75</v>
      </c>
      <c r="I19" t="str">
        <f t="shared" si="0"/>
        <v>183cm x 92cm x 75cm (H) x SH-cm</v>
      </c>
      <c r="K19"/>
      <c r="L19"/>
      <c r="M19"/>
      <c r="Q19" s="18"/>
    </row>
    <row r="20" spans="1:17" x14ac:dyDescent="0.25">
      <c r="A20" s="1" t="s">
        <v>38</v>
      </c>
      <c r="B20" s="14" t="str">
        <f t="shared" si="1"/>
        <v>bench-03</v>
      </c>
      <c r="C20" s="2" t="s">
        <v>34</v>
      </c>
      <c r="D20" s="3">
        <v>141</v>
      </c>
      <c r="E20" s="3">
        <v>38</v>
      </c>
      <c r="F20" s="3">
        <v>45</v>
      </c>
      <c r="I20" t="str">
        <f t="shared" si="0"/>
        <v>141cm x 38cm x 45cm (H) x SH-cm</v>
      </c>
      <c r="K20"/>
      <c r="L20"/>
      <c r="M20"/>
      <c r="Q20" s="18"/>
    </row>
    <row r="21" spans="1:17" x14ac:dyDescent="0.25">
      <c r="A21" s="1" t="s">
        <v>38</v>
      </c>
      <c r="B21" s="14" t="str">
        <f t="shared" si="1"/>
        <v>bench-20-b</v>
      </c>
      <c r="C21" s="2" t="s">
        <v>45</v>
      </c>
      <c r="D21" s="3">
        <v>158</v>
      </c>
      <c r="E21" s="3">
        <v>64</v>
      </c>
      <c r="F21" s="3">
        <v>70</v>
      </c>
      <c r="G21" s="3">
        <v>45</v>
      </c>
      <c r="I21" t="str">
        <f t="shared" si="0"/>
        <v>158cm x 64cm x 70cm (H) x SH-45cm</v>
      </c>
      <c r="K21"/>
      <c r="L21"/>
      <c r="M21"/>
      <c r="Q21" s="19" t="s">
        <v>149</v>
      </c>
    </row>
    <row r="22" spans="1:17" x14ac:dyDescent="0.25">
      <c r="A22" s="1" t="s">
        <v>38</v>
      </c>
      <c r="B22" s="16" t="str">
        <f t="shared" si="1"/>
        <v>centre-table-11</v>
      </c>
      <c r="C22" s="2" t="s">
        <v>10</v>
      </c>
      <c r="D22" s="3">
        <v>122</v>
      </c>
      <c r="E22" s="3">
        <v>61</v>
      </c>
      <c r="F22" s="3">
        <v>43</v>
      </c>
      <c r="I22" t="str">
        <f t="shared" si="0"/>
        <v>122cm x 61cm x 43cm (H) x SH-cm</v>
      </c>
      <c r="K22"/>
      <c r="L22"/>
      <c r="M22"/>
      <c r="Q22" s="19" t="s">
        <v>150</v>
      </c>
    </row>
    <row r="23" spans="1:17" x14ac:dyDescent="0.25">
      <c r="A23" s="1" t="s">
        <v>38</v>
      </c>
      <c r="B23" s="14" t="str">
        <f t="shared" si="1"/>
        <v>centre-table-13</v>
      </c>
      <c r="C23" s="2" t="s">
        <v>139</v>
      </c>
      <c r="D23" s="3">
        <v>129</v>
      </c>
      <c r="E23" s="3">
        <v>76</v>
      </c>
      <c r="F23" s="3">
        <v>40</v>
      </c>
      <c r="I23" t="str">
        <f t="shared" si="0"/>
        <v>129cm x 76cm x 40cm (H) x SH-cm</v>
      </c>
      <c r="K23"/>
      <c r="L23"/>
      <c r="M23"/>
      <c r="Q23" s="19" t="s">
        <v>151</v>
      </c>
    </row>
    <row r="24" spans="1:17" x14ac:dyDescent="0.25">
      <c r="A24" s="1" t="s">
        <v>38</v>
      </c>
      <c r="B24" s="14" t="str">
        <f t="shared" si="1"/>
        <v>centre-table-23</v>
      </c>
      <c r="C24" s="2" t="s">
        <v>11</v>
      </c>
      <c r="D24" s="3">
        <v>102</v>
      </c>
      <c r="E24" s="3">
        <v>68</v>
      </c>
      <c r="F24" s="3">
        <v>45</v>
      </c>
      <c r="I24" t="str">
        <f t="shared" si="0"/>
        <v>102cm x 68cm x 45cm (H) x SH-cm</v>
      </c>
      <c r="K24"/>
      <c r="L24"/>
      <c r="M24"/>
      <c r="Q24" s="18"/>
    </row>
    <row r="25" spans="1:17" x14ac:dyDescent="0.25">
      <c r="A25" s="1" t="s">
        <v>38</v>
      </c>
      <c r="B25" s="14" t="str">
        <f t="shared" si="1"/>
        <v>chair-06</v>
      </c>
      <c r="C25" s="2" t="s">
        <v>12</v>
      </c>
      <c r="D25" s="3">
        <v>65</v>
      </c>
      <c r="E25" s="3">
        <v>83</v>
      </c>
      <c r="F25" s="3">
        <v>91</v>
      </c>
      <c r="G25" s="3">
        <v>39</v>
      </c>
      <c r="I25" t="str">
        <f t="shared" si="0"/>
        <v>65cm x 83cm x 91cm (H) x SH-39cm</v>
      </c>
      <c r="K25"/>
      <c r="L25"/>
      <c r="M25"/>
      <c r="Q25" s="18"/>
    </row>
    <row r="26" spans="1:17" x14ac:dyDescent="0.25">
      <c r="A26" s="1" t="s">
        <v>38</v>
      </c>
      <c r="B26" s="14" t="str">
        <f t="shared" si="1"/>
        <v>chair-42-a</v>
      </c>
      <c r="C26" s="2" t="s">
        <v>43</v>
      </c>
      <c r="D26" s="3">
        <v>62</v>
      </c>
      <c r="E26" s="3">
        <v>76</v>
      </c>
      <c r="F26" s="3">
        <v>82</v>
      </c>
      <c r="G26" s="3">
        <v>41</v>
      </c>
      <c r="I26" t="str">
        <f t="shared" si="0"/>
        <v>62cm x 76cm x 82cm (H) x SH-41cm</v>
      </c>
      <c r="K26"/>
      <c r="L26"/>
      <c r="M26"/>
      <c r="Q26" s="18"/>
    </row>
    <row r="27" spans="1:17" x14ac:dyDescent="0.25">
      <c r="A27" s="1" t="s">
        <v>38</v>
      </c>
      <c r="B27" s="16" t="str">
        <f t="shared" si="1"/>
        <v>foyer-unit-01</v>
      </c>
      <c r="C27" s="2" t="s">
        <v>16</v>
      </c>
      <c r="D27" s="3">
        <v>102</v>
      </c>
      <c r="E27" s="3">
        <v>38</v>
      </c>
      <c r="F27" s="3">
        <v>75</v>
      </c>
      <c r="I27" t="str">
        <f t="shared" si="0"/>
        <v>102cm x 38cm x 75cm (H) x SH-cm</v>
      </c>
      <c r="K27"/>
      <c r="L27"/>
      <c r="M27"/>
      <c r="Q27" s="18"/>
    </row>
    <row r="28" spans="1:17" x14ac:dyDescent="0.25">
      <c r="A28" s="1" t="s">
        <v>38</v>
      </c>
      <c r="B28" s="14" t="str">
        <f t="shared" si="1"/>
        <v>side-table-02-a</v>
      </c>
      <c r="C28" s="2" t="s">
        <v>44</v>
      </c>
      <c r="D28" s="3">
        <v>40</v>
      </c>
      <c r="E28" s="3">
        <v>40</v>
      </c>
      <c r="F28" s="3">
        <v>53</v>
      </c>
      <c r="I28" t="str">
        <f t="shared" si="0"/>
        <v>40cm x 40cm x 53cm (H) x SH-cm</v>
      </c>
      <c r="K28"/>
      <c r="L28"/>
      <c r="M28"/>
      <c r="Q28" s="18"/>
    </row>
    <row r="29" spans="1:17" x14ac:dyDescent="0.25">
      <c r="A29" s="1" t="s">
        <v>38</v>
      </c>
      <c r="B29" s="14" t="str">
        <f t="shared" si="1"/>
        <v>side-table-31</v>
      </c>
      <c r="C29" s="2" t="s">
        <v>19</v>
      </c>
      <c r="D29" s="3">
        <v>45</v>
      </c>
      <c r="E29" s="3">
        <v>45</v>
      </c>
      <c r="F29" s="3">
        <v>45</v>
      </c>
      <c r="I29" t="str">
        <f t="shared" si="0"/>
        <v>45cm x 45cm x 45cm (H) x SH-cm</v>
      </c>
      <c r="K29"/>
      <c r="L29"/>
      <c r="M29"/>
      <c r="Q29" s="18"/>
    </row>
    <row r="30" spans="1:17" x14ac:dyDescent="0.25">
      <c r="A30" s="1" t="s">
        <v>38</v>
      </c>
      <c r="B30" s="16" t="str">
        <f t="shared" si="1"/>
        <v>sofa-02</v>
      </c>
      <c r="C30" s="2" t="s">
        <v>21</v>
      </c>
      <c r="D30" s="4">
        <v>168</v>
      </c>
      <c r="E30" s="3">
        <v>78</v>
      </c>
      <c r="F30" s="3">
        <v>85</v>
      </c>
      <c r="G30" s="3">
        <v>43</v>
      </c>
      <c r="I30" t="str">
        <f t="shared" si="0"/>
        <v>168cm x 78cm x 85cm (H) x SH-43cm</v>
      </c>
      <c r="K30"/>
      <c r="L30"/>
      <c r="M30"/>
      <c r="Q30"/>
    </row>
    <row r="31" spans="1:17" x14ac:dyDescent="0.25">
      <c r="A31" s="1" t="s">
        <v>38</v>
      </c>
      <c r="B31" s="16" t="str">
        <f t="shared" si="1"/>
        <v>sofa-03</v>
      </c>
      <c r="C31" s="2" t="s">
        <v>22</v>
      </c>
      <c r="D31" s="3">
        <v>164</v>
      </c>
      <c r="E31" s="3">
        <v>79</v>
      </c>
      <c r="F31" s="3">
        <v>82</v>
      </c>
      <c r="G31" s="3">
        <v>43</v>
      </c>
      <c r="I31" t="str">
        <f t="shared" si="0"/>
        <v>164cm x 79cm x 82cm (H) x SH-43cm</v>
      </c>
      <c r="K31"/>
      <c r="L31"/>
      <c r="M31"/>
      <c r="Q31"/>
    </row>
    <row r="32" spans="1:17" x14ac:dyDescent="0.25">
      <c r="A32" s="1" t="s">
        <v>38</v>
      </c>
      <c r="B32" s="14" t="str">
        <f t="shared" si="1"/>
        <v>sofa-23</v>
      </c>
      <c r="C32" s="2" t="s">
        <v>23</v>
      </c>
      <c r="D32" s="3">
        <v>170</v>
      </c>
      <c r="E32" s="3">
        <v>84</v>
      </c>
      <c r="F32" s="3">
        <v>79</v>
      </c>
      <c r="G32" s="3">
        <v>43</v>
      </c>
      <c r="I32" t="str">
        <f t="shared" si="0"/>
        <v>170cm x 84cm x 79cm (H) x SH-43cm</v>
      </c>
      <c r="K32"/>
      <c r="L32"/>
      <c r="M32"/>
      <c r="Q32" s="18"/>
    </row>
    <row r="33" spans="1:17" x14ac:dyDescent="0.25">
      <c r="A33" s="1" t="s">
        <v>38</v>
      </c>
      <c r="B33" s="16" t="str">
        <f t="shared" si="1"/>
        <v>storage-unit-16</v>
      </c>
      <c r="C33" s="2" t="s">
        <v>24</v>
      </c>
      <c r="D33" s="3">
        <v>150</v>
      </c>
      <c r="E33" s="3">
        <v>42</v>
      </c>
      <c r="F33" s="3">
        <v>80</v>
      </c>
      <c r="I33" t="str">
        <f t="shared" si="0"/>
        <v>150cm x 42cm x 80cm (H) x SH-cm</v>
      </c>
      <c r="J33" s="13"/>
      <c r="K33"/>
      <c r="L33"/>
      <c r="M33"/>
      <c r="Q33" s="18"/>
    </row>
    <row r="34" spans="1:17" x14ac:dyDescent="0.25">
      <c r="A34" s="1" t="s">
        <v>38</v>
      </c>
      <c r="B34" s="14" t="str">
        <f t="shared" si="1"/>
        <v>storage-unit-29</v>
      </c>
      <c r="C34" s="2" t="s">
        <v>26</v>
      </c>
      <c r="D34" s="3">
        <v>129</v>
      </c>
      <c r="E34" s="3">
        <v>35</v>
      </c>
      <c r="F34" s="3">
        <v>80</v>
      </c>
      <c r="I34" t="str">
        <f t="shared" si="0"/>
        <v>129cm x 35cm x 80cm (H) x SH-cm</v>
      </c>
      <c r="J34" s="13"/>
      <c r="K34"/>
      <c r="L34"/>
      <c r="M34"/>
      <c r="Q34" s="18"/>
    </row>
    <row r="35" spans="1:17" x14ac:dyDescent="0.25">
      <c r="D35" s="15">
        <v>94</v>
      </c>
      <c r="E35" s="15">
        <v>30</v>
      </c>
      <c r="F35" s="15">
        <v>56</v>
      </c>
      <c r="I35" t="str">
        <f t="shared" si="0"/>
        <v>94cm x 30cm x 56cm (H) x SH-cm</v>
      </c>
      <c r="J35" s="13"/>
      <c r="K35"/>
      <c r="L35"/>
      <c r="M35"/>
      <c r="Q35" s="18"/>
    </row>
    <row r="36" spans="1:17" x14ac:dyDescent="0.25">
      <c r="A36" s="1" t="s">
        <v>38</v>
      </c>
      <c r="B36" s="16" t="str">
        <f t="shared" si="1"/>
        <v>swing-06-b</v>
      </c>
      <c r="C36" s="2" t="s">
        <v>29</v>
      </c>
      <c r="D36" s="3">
        <v>153</v>
      </c>
      <c r="E36" s="3">
        <v>61</v>
      </c>
      <c r="F36" s="3">
        <v>10</v>
      </c>
      <c r="I36" t="str">
        <f t="shared" si="0"/>
        <v>153cm x 61cm x 10cm (H) x SH-cm</v>
      </c>
      <c r="J36" s="12"/>
      <c r="K36"/>
      <c r="L36"/>
      <c r="M36"/>
      <c r="Q36"/>
    </row>
    <row r="37" spans="1:17" x14ac:dyDescent="0.25">
      <c r="A37" s="1" t="s">
        <v>38</v>
      </c>
      <c r="B37" s="16" t="str">
        <f t="shared" ref="B37" si="4">SUBSTITUTE(LOWER(C37)," ","-")</f>
        <v>swing-04</v>
      </c>
      <c r="C37" s="2" t="s">
        <v>91</v>
      </c>
      <c r="D37" s="3">
        <v>153</v>
      </c>
      <c r="E37" s="3">
        <v>61</v>
      </c>
      <c r="F37" s="3">
        <v>43</v>
      </c>
      <c r="I37" t="str">
        <f t="shared" ref="I37" si="5">D37 &amp; "cm x " &amp; E37 &amp; "cm x " &amp; F37 &amp; "cm (H) x SH-" &amp; G37 &amp; "cm"</f>
        <v>153cm x 61cm x 43cm (H) x SH-cm</v>
      </c>
      <c r="J37" s="12"/>
      <c r="K37"/>
      <c r="L37"/>
      <c r="M37"/>
      <c r="Q37"/>
    </row>
    <row r="38" spans="1:17" x14ac:dyDescent="0.25">
      <c r="A38" s="1" t="s">
        <v>38</v>
      </c>
      <c r="B38" s="16" t="str">
        <f t="shared" si="1"/>
        <v>tv-unit-03</v>
      </c>
      <c r="C38" s="2" t="s">
        <v>32</v>
      </c>
      <c r="D38" s="3">
        <v>160</v>
      </c>
      <c r="E38" s="3">
        <v>36</v>
      </c>
      <c r="F38" s="3">
        <v>64</v>
      </c>
      <c r="I38" t="str">
        <f t="shared" si="0"/>
        <v>160cm x 36cm x 64cm (H) x SH-cm</v>
      </c>
      <c r="J38" s="13"/>
      <c r="K38"/>
      <c r="L38"/>
      <c r="M38"/>
      <c r="Q38"/>
    </row>
    <row r="39" spans="1:17" x14ac:dyDescent="0.25">
      <c r="A39" s="1" t="s">
        <v>38</v>
      </c>
      <c r="B39" s="14" t="str">
        <f t="shared" si="1"/>
        <v>tv-unit-09-a</v>
      </c>
      <c r="C39" s="2" t="s">
        <v>30</v>
      </c>
      <c r="D39" s="3">
        <v>159</v>
      </c>
      <c r="E39" s="3">
        <v>45</v>
      </c>
      <c r="F39" s="3">
        <v>45</v>
      </c>
      <c r="I39" t="str">
        <f t="shared" si="0"/>
        <v>159cm x 45cm x 45cm (H) x SH-cm</v>
      </c>
      <c r="J39" s="13"/>
      <c r="K39"/>
      <c r="L39"/>
      <c r="M39"/>
      <c r="Q39" s="18"/>
    </row>
    <row r="40" spans="1:17" x14ac:dyDescent="0.25">
      <c r="D40" s="15">
        <v>120</v>
      </c>
      <c r="E40" s="15">
        <v>45</v>
      </c>
      <c r="F40" s="15">
        <v>42</v>
      </c>
      <c r="I40" t="str">
        <f t="shared" si="0"/>
        <v>120cm x 45cm x 42cm (H) x SH-cm</v>
      </c>
      <c r="J40" s="13"/>
      <c r="K40"/>
      <c r="L40"/>
      <c r="M40"/>
      <c r="Q40" s="19" t="s">
        <v>152</v>
      </c>
    </row>
    <row r="41" spans="1:17" x14ac:dyDescent="0.25">
      <c r="A41" s="1" t="s">
        <v>38</v>
      </c>
      <c r="B41" s="14" t="s">
        <v>134</v>
      </c>
      <c r="C41" s="2" t="s">
        <v>140</v>
      </c>
      <c r="D41" s="3">
        <v>255</v>
      </c>
      <c r="E41" s="3">
        <v>75</v>
      </c>
      <c r="F41" s="3">
        <v>84</v>
      </c>
      <c r="G41" s="3">
        <v>40</v>
      </c>
      <c r="I41" t="s">
        <v>137</v>
      </c>
      <c r="J41" s="13"/>
      <c r="K41"/>
      <c r="L41"/>
      <c r="M41"/>
      <c r="Q41" s="18"/>
    </row>
    <row r="42" spans="1:17" x14ac:dyDescent="0.25">
      <c r="A42" s="1" t="s">
        <v>133</v>
      </c>
      <c r="B42" s="14" t="s">
        <v>135</v>
      </c>
      <c r="C42" s="2" t="s">
        <v>136</v>
      </c>
      <c r="D42" s="3">
        <v>67</v>
      </c>
      <c r="E42" s="3">
        <v>77</v>
      </c>
      <c r="F42" s="3">
        <v>70</v>
      </c>
      <c r="G42" s="3">
        <v>37</v>
      </c>
      <c r="I42" t="s">
        <v>138</v>
      </c>
      <c r="J42" s="13"/>
      <c r="K42"/>
      <c r="L42"/>
      <c r="M42"/>
      <c r="Q42" s="18"/>
    </row>
    <row r="43" spans="1:17" x14ac:dyDescent="0.25">
      <c r="A43" s="1" t="s">
        <v>38</v>
      </c>
      <c r="B43" s="14" t="str">
        <f t="shared" si="1"/>
        <v>tv-unit-29</v>
      </c>
      <c r="C43" s="2" t="s">
        <v>31</v>
      </c>
      <c r="D43" s="3">
        <v>112</v>
      </c>
      <c r="E43" s="3">
        <v>28</v>
      </c>
      <c r="F43" s="3">
        <v>50</v>
      </c>
      <c r="I43" t="str">
        <f t="shared" si="0"/>
        <v>112cm x 28cm x 50cm (H) x SH-cm</v>
      </c>
      <c r="J43" s="13"/>
      <c r="K43"/>
      <c r="L43"/>
      <c r="M43"/>
      <c r="Q43" s="18"/>
    </row>
    <row r="44" spans="1:17" x14ac:dyDescent="0.25">
      <c r="D44" s="15">
        <v>92</v>
      </c>
      <c r="E44" s="15">
        <v>25</v>
      </c>
      <c r="F44" s="15">
        <v>46</v>
      </c>
      <c r="I44" t="str">
        <f t="shared" si="0"/>
        <v>92cm x 25cm x 46cm (H) x SH-cm</v>
      </c>
      <c r="J44" s="13"/>
      <c r="K44"/>
      <c r="L44"/>
      <c r="M44"/>
      <c r="Q44" s="18"/>
    </row>
    <row r="45" spans="1:17" x14ac:dyDescent="0.25">
      <c r="A45" s="1" t="s">
        <v>39</v>
      </c>
      <c r="B45" s="14" t="str">
        <f t="shared" si="1"/>
        <v>study-table-02</v>
      </c>
      <c r="C45" s="2" t="s">
        <v>131</v>
      </c>
      <c r="D45" s="3">
        <v>130</v>
      </c>
      <c r="E45" s="3">
        <v>60</v>
      </c>
      <c r="F45" s="3">
        <v>75</v>
      </c>
      <c r="I45" t="str">
        <f t="shared" si="0"/>
        <v>130cm x 60cm x 75cm (H) x SH-cm</v>
      </c>
      <c r="J45" s="13"/>
      <c r="K45"/>
      <c r="L45"/>
      <c r="M45"/>
      <c r="Q45" s="18"/>
    </row>
    <row r="46" spans="1:17" x14ac:dyDescent="0.25">
      <c r="A46" s="1" t="s">
        <v>39</v>
      </c>
      <c r="B46" s="14" t="str">
        <f t="shared" si="1"/>
        <v>study-table-11</v>
      </c>
      <c r="C46" s="2" t="s">
        <v>28</v>
      </c>
      <c r="D46" s="3">
        <v>130</v>
      </c>
      <c r="E46" s="3">
        <v>60</v>
      </c>
      <c r="F46" s="3">
        <v>75</v>
      </c>
      <c r="I46" t="str">
        <f t="shared" si="0"/>
        <v>130cm x 60cm x 75cm (H) x SH-cm</v>
      </c>
      <c r="J46" s="13"/>
      <c r="K46"/>
      <c r="L46"/>
      <c r="M46"/>
      <c r="Q46" s="18"/>
    </row>
    <row r="47" spans="1:17" x14ac:dyDescent="0.25">
      <c r="A47" s="1" t="s">
        <v>37</v>
      </c>
      <c r="B47" s="17" t="str">
        <f t="shared" si="1"/>
        <v>bed-27-a</v>
      </c>
      <c r="C47" s="2" t="s">
        <v>51</v>
      </c>
      <c r="D47" s="3">
        <v>288</v>
      </c>
      <c r="E47" s="3">
        <v>217</v>
      </c>
      <c r="F47" s="3">
        <v>110</v>
      </c>
      <c r="H47" s="1">
        <v>48</v>
      </c>
      <c r="I47" s="1" t="str">
        <f t="shared" si="0"/>
        <v>288cm x 217cm x 110cm (H) x SH-cm</v>
      </c>
    </row>
    <row r="48" spans="1:17" x14ac:dyDescent="0.25">
      <c r="A48" s="1" t="s">
        <v>38</v>
      </c>
      <c r="B48" s="17" t="str">
        <f t="shared" si="1"/>
        <v>sofa-36-a</v>
      </c>
      <c r="C48" s="2" t="s">
        <v>141</v>
      </c>
      <c r="D48" s="3">
        <v>268</v>
      </c>
      <c r="E48" s="3">
        <v>80</v>
      </c>
      <c r="F48" s="3">
        <v>80</v>
      </c>
      <c r="G48" s="3">
        <v>35</v>
      </c>
      <c r="I48" s="1" t="str">
        <f t="shared" si="0"/>
        <v>268cm x 80cm x 80cm (H) x SH-35cm</v>
      </c>
    </row>
    <row r="49" spans="1:9" x14ac:dyDescent="0.25">
      <c r="A49" s="1" t="s">
        <v>38</v>
      </c>
      <c r="B49" s="17" t="str">
        <f t="shared" si="1"/>
        <v>side-table-02-c</v>
      </c>
      <c r="C49" s="2" t="s">
        <v>142</v>
      </c>
      <c r="D49" s="3">
        <v>45</v>
      </c>
      <c r="E49" s="3">
        <v>45</v>
      </c>
      <c r="F49" s="3">
        <v>53</v>
      </c>
      <c r="I49" s="1" t="str">
        <f t="shared" si="0"/>
        <v>45cm x 45cm x 53cm (H) x SH-cm</v>
      </c>
    </row>
    <row r="50" spans="1:9" x14ac:dyDescent="0.25">
      <c r="A50" s="1" t="s">
        <v>133</v>
      </c>
      <c r="B50" s="17" t="str">
        <f t="shared" si="1"/>
        <v>centre-table-02-a</v>
      </c>
      <c r="C50" s="2" t="s">
        <v>143</v>
      </c>
      <c r="D50" s="3">
        <v>76</v>
      </c>
      <c r="E50" s="3">
        <v>76</v>
      </c>
      <c r="F50" s="3">
        <v>36</v>
      </c>
      <c r="I50" s="1" t="str">
        <f t="shared" si="0"/>
        <v>76cm x 76cm x 36cm (H) x SH-cm</v>
      </c>
    </row>
    <row r="51" spans="1:9" x14ac:dyDescent="0.25">
      <c r="A51" s="1" t="s">
        <v>133</v>
      </c>
      <c r="B51" s="17" t="str">
        <f t="shared" si="1"/>
        <v>storage-unit-45-b</v>
      </c>
      <c r="C51" s="2" t="s">
        <v>144</v>
      </c>
      <c r="D51" s="3">
        <v>92</v>
      </c>
      <c r="E51" s="3">
        <v>50</v>
      </c>
      <c r="F51" s="3">
        <v>152</v>
      </c>
      <c r="I51" s="1" t="str">
        <f t="shared" si="0"/>
        <v>92cm x 50cm x 152cm (H) x SH-cm</v>
      </c>
    </row>
    <row r="55" spans="1:9" x14ac:dyDescent="0.25">
      <c r="B55" s="14" t="s">
        <v>146</v>
      </c>
    </row>
    <row r="56" spans="1:9" x14ac:dyDescent="0.25">
      <c r="B56" s="16" t="s">
        <v>145</v>
      </c>
    </row>
    <row r="57" spans="1:9" x14ac:dyDescent="0.25">
      <c r="B57" s="17" t="s">
        <v>147</v>
      </c>
    </row>
  </sheetData>
  <autoFilter ref="A1:I4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topLeftCell="A13" workbookViewId="0">
      <selection activeCell="D27" sqref="D27"/>
    </sheetView>
  </sheetViews>
  <sheetFormatPr defaultColWidth="9.140625" defaultRowHeight="15" x14ac:dyDescent="0.25"/>
  <cols>
    <col min="1" max="1" width="9.140625" style="1"/>
    <col min="2" max="2" width="15.28515625" style="1" customWidth="1"/>
    <col min="3" max="3" width="27.28515625" style="2" customWidth="1"/>
    <col min="4" max="6" width="11.28515625" style="3" customWidth="1"/>
    <col min="7" max="7" width="9.140625" style="3"/>
    <col min="8" max="8" width="9.140625" style="1"/>
    <col min="9" max="9" width="37" style="1" customWidth="1"/>
    <col min="10" max="16384" width="9.140625" style="1"/>
  </cols>
  <sheetData>
    <row r="1" spans="1:9" x14ac:dyDescent="0.25">
      <c r="A1" s="5" t="s">
        <v>35</v>
      </c>
      <c r="B1" s="5"/>
      <c r="C1" s="6" t="s">
        <v>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33</v>
      </c>
      <c r="I1" s="5" t="s">
        <v>47</v>
      </c>
    </row>
    <row r="2" spans="1:9" x14ac:dyDescent="0.25">
      <c r="A2" s="1" t="s">
        <v>36</v>
      </c>
      <c r="B2" s="1" t="str">
        <f>SUBSTITUTE(LOWER(C2)," ","-")</f>
        <v>barstool-05-b</v>
      </c>
      <c r="C2" s="2" t="s">
        <v>48</v>
      </c>
      <c r="D2" s="3">
        <v>42</v>
      </c>
      <c r="E2" s="3">
        <v>50</v>
      </c>
      <c r="F2" s="3">
        <v>101</v>
      </c>
      <c r="G2" s="3">
        <v>75</v>
      </c>
      <c r="I2" t="str">
        <f t="shared" ref="I2:I43" si="0">D2 &amp; "cm x " &amp; E2 &amp; "cm x " &amp; F2 &amp; "cm (H) x SH-" &amp; G2 &amp; "cm"</f>
        <v>42cm x 50cm x 101cm (H) x SH-75cm</v>
      </c>
    </row>
    <row r="3" spans="1:9" x14ac:dyDescent="0.25">
      <c r="A3" s="1" t="s">
        <v>36</v>
      </c>
      <c r="B3" s="1" t="str">
        <f t="shared" ref="B3:B44" si="1">SUBSTITUTE(LOWER(C3)," ","-")</f>
        <v>barstool-12-b</v>
      </c>
      <c r="C3" s="2" t="s">
        <v>49</v>
      </c>
      <c r="D3" s="3">
        <v>50</v>
      </c>
      <c r="E3" s="3">
        <v>48</v>
      </c>
      <c r="F3" s="3">
        <v>102</v>
      </c>
      <c r="G3" s="3">
        <v>75</v>
      </c>
      <c r="I3" t="str">
        <f t="shared" si="0"/>
        <v>50cm x 48cm x 102cm (H) x SH-75cm</v>
      </c>
    </row>
    <row r="4" spans="1:9" x14ac:dyDescent="0.25">
      <c r="A4" s="1" t="s">
        <v>36</v>
      </c>
      <c r="B4" s="1" t="str">
        <f t="shared" si="1"/>
        <v>barstool-14</v>
      </c>
      <c r="C4" s="2" t="s">
        <v>50</v>
      </c>
      <c r="D4" s="3">
        <v>47</v>
      </c>
      <c r="E4" s="3">
        <v>49</v>
      </c>
      <c r="F4" s="3">
        <v>102</v>
      </c>
      <c r="G4" s="3">
        <v>75</v>
      </c>
      <c r="I4" t="str">
        <f t="shared" si="0"/>
        <v>47cm x 49cm x 102cm (H) x SH-75cm</v>
      </c>
    </row>
    <row r="5" spans="1:9" x14ac:dyDescent="0.25">
      <c r="A5" s="8" t="s">
        <v>37</v>
      </c>
      <c r="B5" s="8" t="str">
        <f t="shared" si="1"/>
        <v>bed-27-a</v>
      </c>
      <c r="C5" s="9" t="s">
        <v>51</v>
      </c>
      <c r="D5" s="10">
        <v>291</v>
      </c>
      <c r="E5" s="10">
        <v>210</v>
      </c>
      <c r="F5" s="10">
        <v>105</v>
      </c>
      <c r="G5" s="10">
        <v>42</v>
      </c>
      <c r="H5" s="8"/>
      <c r="I5" s="11" t="str">
        <f t="shared" si="0"/>
        <v>291cm x 210cm x 105cm (H) x SH-42cm</v>
      </c>
    </row>
    <row r="6" spans="1:9" x14ac:dyDescent="0.25">
      <c r="A6" s="1" t="s">
        <v>37</v>
      </c>
      <c r="B6" s="1" t="str">
        <f t="shared" si="1"/>
        <v>bed-37-b</v>
      </c>
      <c r="C6" s="2" t="s">
        <v>52</v>
      </c>
      <c r="D6" s="3">
        <v>195</v>
      </c>
      <c r="E6" s="3">
        <v>211</v>
      </c>
      <c r="F6" s="3">
        <v>119</v>
      </c>
      <c r="G6" s="3">
        <v>50</v>
      </c>
      <c r="I6" t="str">
        <f t="shared" si="0"/>
        <v>195cm x 211cm x 119cm (H) x SH-50cm</v>
      </c>
    </row>
    <row r="7" spans="1:9" x14ac:dyDescent="0.25">
      <c r="A7" s="1" t="s">
        <v>37</v>
      </c>
      <c r="B7" s="1" t="str">
        <f t="shared" si="1"/>
        <v>bed-39</v>
      </c>
      <c r="C7" s="2" t="s">
        <v>53</v>
      </c>
      <c r="D7" s="3">
        <v>196</v>
      </c>
      <c r="E7" s="3">
        <v>213</v>
      </c>
      <c r="F7" s="3">
        <v>197</v>
      </c>
      <c r="G7" s="3">
        <v>54</v>
      </c>
      <c r="I7" t="str">
        <f t="shared" si="0"/>
        <v>196cm x 213cm x 197cm (H) x SH-54cm</v>
      </c>
    </row>
    <row r="8" spans="1:9" x14ac:dyDescent="0.25">
      <c r="A8" s="1" t="s">
        <v>37</v>
      </c>
      <c r="B8" s="1" t="str">
        <f t="shared" si="1"/>
        <v>bed-42-a</v>
      </c>
      <c r="C8" s="2" t="s">
        <v>54</v>
      </c>
      <c r="D8" s="3">
        <v>195</v>
      </c>
      <c r="E8" s="3">
        <v>210</v>
      </c>
      <c r="F8" s="3">
        <v>93</v>
      </c>
      <c r="G8" s="3">
        <v>51</v>
      </c>
      <c r="I8" t="str">
        <f t="shared" si="0"/>
        <v>195cm x 210cm x 93cm (H) x SH-51cm</v>
      </c>
    </row>
    <row r="9" spans="1:9" x14ac:dyDescent="0.25">
      <c r="A9" s="1" t="s">
        <v>37</v>
      </c>
      <c r="B9" s="1" t="str">
        <f t="shared" si="1"/>
        <v>bed-58-a</v>
      </c>
      <c r="C9" s="2" t="s">
        <v>55</v>
      </c>
      <c r="D9" s="3">
        <v>197</v>
      </c>
      <c r="E9" s="3">
        <v>212</v>
      </c>
      <c r="F9" s="3">
        <v>153</v>
      </c>
      <c r="G9" s="3">
        <v>54</v>
      </c>
      <c r="I9" t="str">
        <f t="shared" si="0"/>
        <v>197cm x 212cm x 153cm (H) x SH-54cm</v>
      </c>
    </row>
    <row r="10" spans="1:9" x14ac:dyDescent="0.25">
      <c r="A10" s="1" t="s">
        <v>38</v>
      </c>
      <c r="B10" s="1" t="str">
        <f t="shared" si="1"/>
        <v>bench-14-a</v>
      </c>
      <c r="C10" s="2" t="s">
        <v>86</v>
      </c>
      <c r="D10" s="3">
        <v>153</v>
      </c>
      <c r="E10" s="3">
        <v>62</v>
      </c>
      <c r="F10" s="3">
        <v>88</v>
      </c>
      <c r="G10" s="3">
        <v>45</v>
      </c>
      <c r="I10" t="str">
        <f t="shared" si="0"/>
        <v>153cm x 62cm x 88cm (H) x SH-45cm</v>
      </c>
    </row>
    <row r="11" spans="1:9" x14ac:dyDescent="0.25">
      <c r="A11" s="1" t="s">
        <v>38</v>
      </c>
      <c r="B11" s="1" t="str">
        <f t="shared" si="1"/>
        <v>centre-table-09-a</v>
      </c>
      <c r="C11" s="2" t="s">
        <v>56</v>
      </c>
      <c r="D11" s="3">
        <v>92</v>
      </c>
      <c r="E11" s="3">
        <v>61</v>
      </c>
      <c r="F11" s="3">
        <v>45</v>
      </c>
      <c r="I11" t="str">
        <f t="shared" si="0"/>
        <v>92cm x 61cm x 45cm (H) x SH-cm</v>
      </c>
    </row>
    <row r="12" spans="1:9" x14ac:dyDescent="0.25">
      <c r="A12" s="1" t="s">
        <v>38</v>
      </c>
      <c r="B12" s="1" t="str">
        <f t="shared" si="1"/>
        <v>centre-table-26</v>
      </c>
      <c r="C12" s="2" t="s">
        <v>57</v>
      </c>
      <c r="D12" s="3">
        <v>101</v>
      </c>
      <c r="E12" s="3">
        <v>61</v>
      </c>
      <c r="F12" s="3">
        <v>45</v>
      </c>
      <c r="I12" t="str">
        <f t="shared" si="0"/>
        <v>101cm x 61cm x 45cm (H) x SH-cm</v>
      </c>
    </row>
    <row r="13" spans="1:9" x14ac:dyDescent="0.25">
      <c r="A13" s="1" t="s">
        <v>38</v>
      </c>
      <c r="B13" s="1" t="str">
        <f t="shared" si="1"/>
        <v>centre-table-32</v>
      </c>
      <c r="C13" s="2" t="s">
        <v>58</v>
      </c>
      <c r="D13" s="3">
        <v>92</v>
      </c>
      <c r="E13" s="3">
        <v>92</v>
      </c>
      <c r="F13" s="3">
        <v>42</v>
      </c>
      <c r="I13" t="str">
        <f t="shared" si="0"/>
        <v>92cm x 92cm x 42cm (H) x SH-cm</v>
      </c>
    </row>
    <row r="14" spans="1:9" x14ac:dyDescent="0.25">
      <c r="A14" s="1" t="s">
        <v>38</v>
      </c>
      <c r="B14" s="1" t="str">
        <f t="shared" si="1"/>
        <v>centre-table-34-b</v>
      </c>
      <c r="C14" s="2" t="s">
        <v>59</v>
      </c>
      <c r="D14" s="3">
        <v>92</v>
      </c>
      <c r="E14" s="3">
        <v>92</v>
      </c>
      <c r="F14" s="3">
        <v>45</v>
      </c>
      <c r="I14" t="str">
        <f t="shared" si="0"/>
        <v>92cm x 92cm x 45cm (H) x SH-cm</v>
      </c>
    </row>
    <row r="15" spans="1:9" x14ac:dyDescent="0.25">
      <c r="A15" s="1" t="s">
        <v>38</v>
      </c>
      <c r="B15" s="1" t="str">
        <f t="shared" si="1"/>
        <v>centre-table-40-a</v>
      </c>
      <c r="C15" s="2" t="s">
        <v>87</v>
      </c>
      <c r="D15" s="3">
        <v>88</v>
      </c>
      <c r="E15" s="3">
        <v>67</v>
      </c>
      <c r="F15" s="3">
        <v>35</v>
      </c>
      <c r="I15" t="str">
        <f t="shared" si="0"/>
        <v>88cm x 67cm x 35cm (H) x SH-cm</v>
      </c>
    </row>
    <row r="16" spans="1:9" x14ac:dyDescent="0.25">
      <c r="A16" s="8" t="s">
        <v>38</v>
      </c>
      <c r="B16" s="8" t="str">
        <f t="shared" si="1"/>
        <v>chair-01</v>
      </c>
      <c r="C16" s="9" t="s">
        <v>60</v>
      </c>
      <c r="D16" s="10">
        <v>59</v>
      </c>
      <c r="E16" s="10">
        <v>65</v>
      </c>
      <c r="F16" s="10">
        <v>76</v>
      </c>
      <c r="G16" s="10">
        <v>39</v>
      </c>
      <c r="H16" s="8"/>
      <c r="I16" s="11" t="str">
        <f t="shared" si="0"/>
        <v>59cm x 65cm x 76cm (H) x SH-39cm</v>
      </c>
    </row>
    <row r="17" spans="1:9" x14ac:dyDescent="0.25">
      <c r="A17" s="1" t="s">
        <v>36</v>
      </c>
      <c r="B17" s="1" t="str">
        <f t="shared" si="1"/>
        <v>dining-chair-03</v>
      </c>
      <c r="C17" s="2" t="s">
        <v>83</v>
      </c>
      <c r="D17" s="3">
        <v>46</v>
      </c>
      <c r="E17" s="3">
        <v>54</v>
      </c>
      <c r="F17" s="3">
        <v>86</v>
      </c>
      <c r="G17" s="3">
        <v>45</v>
      </c>
      <c r="I17" t="str">
        <f t="shared" si="0"/>
        <v>46cm x 54cm x 86cm (H) x SH-45cm</v>
      </c>
    </row>
    <row r="18" spans="1:9" x14ac:dyDescent="0.25">
      <c r="A18" s="8" t="s">
        <v>38</v>
      </c>
      <c r="B18" s="8" t="str">
        <f t="shared" si="1"/>
        <v>chair-11-c</v>
      </c>
      <c r="C18" s="9" t="s">
        <v>61</v>
      </c>
      <c r="D18" s="10"/>
      <c r="E18" s="10"/>
      <c r="F18" s="10"/>
      <c r="G18" s="10"/>
      <c r="H18" s="8"/>
      <c r="I18" s="11" t="str">
        <f t="shared" si="0"/>
        <v>cm x cm x cm (H) x SH-cm</v>
      </c>
    </row>
    <row r="19" spans="1:9" x14ac:dyDescent="0.25">
      <c r="A19" s="1" t="s">
        <v>39</v>
      </c>
      <c r="B19" s="1" t="str">
        <f t="shared" si="1"/>
        <v>study-chair-13</v>
      </c>
      <c r="C19" s="2" t="s">
        <v>84</v>
      </c>
      <c r="D19" s="3">
        <v>66</v>
      </c>
      <c r="E19" s="3">
        <v>62</v>
      </c>
      <c r="F19" s="3">
        <v>90</v>
      </c>
      <c r="G19" s="3">
        <v>45</v>
      </c>
      <c r="I19" t="str">
        <f t="shared" si="0"/>
        <v>66cm x 62cm x 90cm (H) x SH-45cm</v>
      </c>
    </row>
    <row r="20" spans="1:9" x14ac:dyDescent="0.25">
      <c r="A20" s="1" t="s">
        <v>38</v>
      </c>
      <c r="B20" s="1" t="str">
        <f t="shared" si="1"/>
        <v>chair-16</v>
      </c>
      <c r="C20" s="2" t="s">
        <v>62</v>
      </c>
      <c r="D20" s="3">
        <v>63</v>
      </c>
      <c r="E20" s="3">
        <v>112</v>
      </c>
      <c r="F20" s="3">
        <v>102</v>
      </c>
      <c r="G20" s="3">
        <v>45</v>
      </c>
      <c r="I20" t="str">
        <f t="shared" si="0"/>
        <v>63cm x 112cm x 102cm (H) x SH-45cm</v>
      </c>
    </row>
    <row r="21" spans="1:9" x14ac:dyDescent="0.25">
      <c r="A21" s="1" t="s">
        <v>38</v>
      </c>
      <c r="B21" s="1" t="str">
        <f t="shared" si="1"/>
        <v>chair-28</v>
      </c>
      <c r="C21" s="2" t="s">
        <v>63</v>
      </c>
      <c r="D21" s="3">
        <v>79</v>
      </c>
      <c r="E21" s="3">
        <v>68</v>
      </c>
      <c r="F21" s="3">
        <v>83</v>
      </c>
      <c r="G21" s="3">
        <v>45</v>
      </c>
      <c r="I21" t="str">
        <f t="shared" si="0"/>
        <v>79cm x 68cm x 83cm (H) x SH-45cm</v>
      </c>
    </row>
    <row r="22" spans="1:9" x14ac:dyDescent="0.25">
      <c r="A22" s="1" t="s">
        <v>36</v>
      </c>
      <c r="B22" s="1" t="str">
        <f t="shared" si="1"/>
        <v>dining-chair-29</v>
      </c>
      <c r="C22" s="2" t="s">
        <v>85</v>
      </c>
      <c r="D22" s="3">
        <v>44</v>
      </c>
      <c r="E22" s="3">
        <v>54</v>
      </c>
      <c r="F22" s="3">
        <v>90</v>
      </c>
      <c r="G22" s="3">
        <v>45</v>
      </c>
      <c r="I22" t="str">
        <f t="shared" si="0"/>
        <v>44cm x 54cm x 90cm (H) x SH-45cm</v>
      </c>
    </row>
    <row r="23" spans="1:9" x14ac:dyDescent="0.25">
      <c r="A23" s="1" t="s">
        <v>36</v>
      </c>
      <c r="B23" s="1" t="str">
        <f t="shared" si="1"/>
        <v>dining-chair-48</v>
      </c>
      <c r="C23" s="2" t="s">
        <v>88</v>
      </c>
      <c r="D23" s="3">
        <v>47</v>
      </c>
      <c r="E23" s="3">
        <v>49</v>
      </c>
      <c r="F23" s="3">
        <v>91</v>
      </c>
      <c r="G23" s="3">
        <v>45</v>
      </c>
      <c r="I23" t="str">
        <f t="shared" si="0"/>
        <v>47cm x 49cm x 91cm (H) x SH-45cm</v>
      </c>
    </row>
    <row r="24" spans="1:9" x14ac:dyDescent="0.25">
      <c r="A24" s="1" t="s">
        <v>36</v>
      </c>
      <c r="B24" s="1" t="str">
        <f t="shared" si="1"/>
        <v>dining-table-39-b</v>
      </c>
      <c r="C24" s="2" t="s">
        <v>64</v>
      </c>
      <c r="D24" s="3">
        <v>183</v>
      </c>
      <c r="E24" s="3">
        <v>107</v>
      </c>
      <c r="F24" s="3">
        <v>76</v>
      </c>
      <c r="I24" t="str">
        <f t="shared" si="0"/>
        <v>183cm x 107cm x 76cm (H) x SH-cm</v>
      </c>
    </row>
    <row r="25" spans="1:9" x14ac:dyDescent="0.25">
      <c r="A25" s="1" t="s">
        <v>36</v>
      </c>
      <c r="B25" s="1" t="str">
        <f t="shared" si="1"/>
        <v>dining-table-43-b</v>
      </c>
      <c r="C25" s="2" t="s">
        <v>65</v>
      </c>
      <c r="D25" s="3">
        <v>183</v>
      </c>
      <c r="E25" s="3">
        <v>107</v>
      </c>
      <c r="F25" s="3">
        <v>76</v>
      </c>
      <c r="I25" t="str">
        <f t="shared" si="0"/>
        <v>183cm x 107cm x 76cm (H) x SH-cm</v>
      </c>
    </row>
    <row r="26" spans="1:9" x14ac:dyDescent="0.25">
      <c r="A26" s="1" t="s">
        <v>38</v>
      </c>
      <c r="B26" s="1" t="str">
        <f t="shared" si="1"/>
        <v>diwan-01</v>
      </c>
      <c r="C26" s="2" t="s">
        <v>66</v>
      </c>
      <c r="D26" s="3">
        <v>176</v>
      </c>
      <c r="E26" s="3">
        <v>69</v>
      </c>
      <c r="F26" s="3">
        <v>65</v>
      </c>
      <c r="G26" s="3">
        <v>43</v>
      </c>
      <c r="I26" t="str">
        <f t="shared" si="0"/>
        <v>176cm x 69cm x 65cm (H) x SH-43cm</v>
      </c>
    </row>
    <row r="27" spans="1:9" x14ac:dyDescent="0.25">
      <c r="A27" s="1" t="s">
        <v>37</v>
      </c>
      <c r="B27" s="1" t="str">
        <f t="shared" si="1"/>
        <v>dresser-03</v>
      </c>
      <c r="C27" s="2" t="s">
        <v>67</v>
      </c>
      <c r="D27" s="3">
        <v>110</v>
      </c>
      <c r="E27" s="3">
        <v>43</v>
      </c>
      <c r="F27" s="3">
        <v>126</v>
      </c>
      <c r="I27" t="str">
        <f t="shared" si="0"/>
        <v>110cm x 43cm x 126cm (H) x SH-cm</v>
      </c>
    </row>
    <row r="28" spans="1:9" x14ac:dyDescent="0.25">
      <c r="A28" s="1" t="s">
        <v>38</v>
      </c>
      <c r="B28" s="1" t="str">
        <f t="shared" si="1"/>
        <v>foyer-unit-10</v>
      </c>
      <c r="C28" s="2" t="s">
        <v>68</v>
      </c>
      <c r="D28" s="4">
        <v>101</v>
      </c>
      <c r="E28" s="3">
        <v>38</v>
      </c>
      <c r="F28" s="3">
        <v>90</v>
      </c>
      <c r="I28" t="str">
        <f t="shared" si="0"/>
        <v>101cm x 38cm x 90cm (H) x SH-cm</v>
      </c>
    </row>
    <row r="29" spans="1:9" x14ac:dyDescent="0.25">
      <c r="A29" s="1" t="s">
        <v>37</v>
      </c>
      <c r="B29" s="1" t="str">
        <f t="shared" si="1"/>
        <v>side-table-05</v>
      </c>
      <c r="C29" s="2" t="s">
        <v>69</v>
      </c>
      <c r="D29" s="3">
        <v>53</v>
      </c>
      <c r="E29" s="3">
        <v>46</v>
      </c>
      <c r="F29" s="3">
        <v>50</v>
      </c>
      <c r="I29" t="str">
        <f t="shared" si="0"/>
        <v>53cm x 46cm x 50cm (H) x SH-cm</v>
      </c>
    </row>
    <row r="30" spans="1:9" x14ac:dyDescent="0.25">
      <c r="A30" s="1" t="s">
        <v>37</v>
      </c>
      <c r="B30" s="1" t="str">
        <f t="shared" si="1"/>
        <v>side-table-14</v>
      </c>
      <c r="C30" s="2" t="s">
        <v>70</v>
      </c>
      <c r="D30" s="3">
        <v>36</v>
      </c>
      <c r="E30" s="3">
        <v>36</v>
      </c>
      <c r="F30" s="3">
        <v>53</v>
      </c>
      <c r="I30" t="str">
        <f t="shared" si="0"/>
        <v>36cm x 36cm x 53cm (H) x SH-cm</v>
      </c>
    </row>
    <row r="31" spans="1:9" x14ac:dyDescent="0.25">
      <c r="A31" s="1" t="s">
        <v>37</v>
      </c>
      <c r="B31" s="1" t="str">
        <f t="shared" si="1"/>
        <v>side-table-26</v>
      </c>
      <c r="C31" s="2" t="s">
        <v>71</v>
      </c>
      <c r="D31" s="3">
        <v>60</v>
      </c>
      <c r="E31" s="3">
        <v>40</v>
      </c>
      <c r="F31" s="3">
        <v>48</v>
      </c>
      <c r="I31" t="str">
        <f t="shared" si="0"/>
        <v>60cm x 40cm x 48cm (H) x SH-cm</v>
      </c>
    </row>
    <row r="32" spans="1:9" x14ac:dyDescent="0.25">
      <c r="A32" s="1" t="s">
        <v>38</v>
      </c>
      <c r="B32" s="1" t="str">
        <f t="shared" si="1"/>
        <v>sofa-12-a</v>
      </c>
      <c r="C32" s="2" t="s">
        <v>72</v>
      </c>
      <c r="D32" s="3">
        <v>187</v>
      </c>
      <c r="E32" s="3">
        <v>83</v>
      </c>
      <c r="F32" s="3">
        <v>92</v>
      </c>
      <c r="G32" s="3">
        <v>43</v>
      </c>
      <c r="I32" t="str">
        <f t="shared" si="0"/>
        <v>187cm x 83cm x 92cm (H) x SH-43cm</v>
      </c>
    </row>
    <row r="33" spans="1:9" x14ac:dyDescent="0.25">
      <c r="A33" s="1" t="s">
        <v>38</v>
      </c>
      <c r="B33" s="1" t="str">
        <f t="shared" si="1"/>
        <v>sofa-16-c</v>
      </c>
      <c r="C33" s="2" t="s">
        <v>89</v>
      </c>
      <c r="D33" s="3">
        <v>185</v>
      </c>
      <c r="E33" s="3">
        <v>72</v>
      </c>
      <c r="F33" s="3">
        <v>81</v>
      </c>
      <c r="G33" s="3">
        <v>43</v>
      </c>
      <c r="I33" t="str">
        <f t="shared" si="0"/>
        <v>185cm x 72cm x 81cm (H) x SH-43cm</v>
      </c>
    </row>
    <row r="34" spans="1:9" x14ac:dyDescent="0.25">
      <c r="A34" s="1" t="s">
        <v>38</v>
      </c>
      <c r="B34" s="1" t="str">
        <f t="shared" si="1"/>
        <v>sofa-22-b</v>
      </c>
      <c r="C34" s="2" t="s">
        <v>73</v>
      </c>
      <c r="D34" s="3">
        <v>183</v>
      </c>
      <c r="E34" s="3">
        <v>76</v>
      </c>
      <c r="F34" s="3">
        <v>83</v>
      </c>
      <c r="G34" s="3">
        <v>45</v>
      </c>
      <c r="I34" t="str">
        <f t="shared" si="0"/>
        <v>183cm x 76cm x 83cm (H) x SH-45cm</v>
      </c>
    </row>
    <row r="35" spans="1:9" x14ac:dyDescent="0.25">
      <c r="A35" s="1" t="s">
        <v>38</v>
      </c>
      <c r="B35" s="1" t="str">
        <f t="shared" si="1"/>
        <v>sofabed-03-c</v>
      </c>
      <c r="C35" s="2" t="s">
        <v>74</v>
      </c>
      <c r="D35" s="3">
        <v>203</v>
      </c>
      <c r="E35" s="3">
        <v>75</v>
      </c>
      <c r="F35" s="3">
        <v>78</v>
      </c>
      <c r="G35" s="3">
        <v>44</v>
      </c>
      <c r="I35" t="str">
        <f t="shared" si="0"/>
        <v>203cm x 75cm x 78cm (H) x SH-44cm</v>
      </c>
    </row>
    <row r="36" spans="1:9" x14ac:dyDescent="0.25">
      <c r="A36" s="1" t="s">
        <v>38</v>
      </c>
      <c r="B36" s="1" t="str">
        <f t="shared" si="1"/>
        <v>storage-unit-30-b</v>
      </c>
      <c r="C36" s="2" t="s">
        <v>75</v>
      </c>
      <c r="D36" s="3">
        <v>153</v>
      </c>
      <c r="E36" s="3">
        <v>40</v>
      </c>
      <c r="F36" s="3">
        <v>97</v>
      </c>
      <c r="I36" t="str">
        <f t="shared" si="0"/>
        <v>153cm x 40cm x 97cm (H) x SH-cm</v>
      </c>
    </row>
    <row r="37" spans="1:9" x14ac:dyDescent="0.25">
      <c r="A37" s="1" t="s">
        <v>38</v>
      </c>
      <c r="B37" s="1" t="str">
        <f t="shared" si="1"/>
        <v>storage-unit-31</v>
      </c>
      <c r="C37" s="2" t="s">
        <v>76</v>
      </c>
      <c r="D37" s="3">
        <v>186</v>
      </c>
      <c r="E37" s="3">
        <v>44</v>
      </c>
      <c r="F37" s="3">
        <v>100</v>
      </c>
      <c r="I37" s="1" t="str">
        <f t="shared" si="0"/>
        <v>186cm x 44cm x 100cm (H) x SH-cm</v>
      </c>
    </row>
    <row r="38" spans="1:9" x14ac:dyDescent="0.25">
      <c r="A38" s="1" t="s">
        <v>38</v>
      </c>
      <c r="B38" s="1" t="str">
        <f t="shared" si="1"/>
        <v>storage-unit-39</v>
      </c>
      <c r="C38" s="2" t="s">
        <v>77</v>
      </c>
      <c r="D38" s="3">
        <v>122</v>
      </c>
      <c r="E38" s="3">
        <v>48</v>
      </c>
      <c r="F38" s="3">
        <v>63</v>
      </c>
      <c r="I38" s="1" t="str">
        <f t="shared" si="0"/>
        <v>122cm x 48cm x 63cm (H) x SH-cm</v>
      </c>
    </row>
    <row r="39" spans="1:9" x14ac:dyDescent="0.25">
      <c r="A39" s="1" t="s">
        <v>39</v>
      </c>
      <c r="B39" s="1" t="str">
        <f t="shared" si="1"/>
        <v>study-table-19</v>
      </c>
      <c r="C39" s="2" t="s">
        <v>78</v>
      </c>
      <c r="D39" s="3">
        <v>114</v>
      </c>
      <c r="E39" s="3">
        <v>56</v>
      </c>
      <c r="F39" s="3">
        <v>86</v>
      </c>
      <c r="I39" s="1" t="str">
        <f t="shared" si="0"/>
        <v>114cm x 56cm x 86cm (H) x SH-cm</v>
      </c>
    </row>
    <row r="40" spans="1:9" x14ac:dyDescent="0.25">
      <c r="A40" s="1" t="s">
        <v>39</v>
      </c>
      <c r="B40" s="1" t="str">
        <f t="shared" si="1"/>
        <v>study-table-21</v>
      </c>
      <c r="C40" s="2" t="s">
        <v>79</v>
      </c>
      <c r="D40" s="3">
        <v>123</v>
      </c>
      <c r="E40" s="3">
        <v>61</v>
      </c>
      <c r="F40" s="3">
        <v>78</v>
      </c>
      <c r="I40" s="1" t="str">
        <f t="shared" si="0"/>
        <v>123cm x 61cm x 78cm (H) x SH-cm</v>
      </c>
    </row>
    <row r="41" spans="1:9" x14ac:dyDescent="0.25">
      <c r="A41" s="1" t="s">
        <v>38</v>
      </c>
      <c r="B41" s="1" t="str">
        <f t="shared" si="1"/>
        <v>swing-04-c</v>
      </c>
      <c r="C41" s="2" t="s">
        <v>80</v>
      </c>
      <c r="D41" s="3">
        <v>153</v>
      </c>
      <c r="E41" s="3">
        <v>61</v>
      </c>
      <c r="F41" s="3">
        <v>43</v>
      </c>
      <c r="I41" s="1" t="str">
        <f t="shared" si="0"/>
        <v>153cm x 61cm x 43cm (H) x SH-cm</v>
      </c>
    </row>
    <row r="42" spans="1:9" x14ac:dyDescent="0.25">
      <c r="A42" s="1" t="s">
        <v>38</v>
      </c>
      <c r="B42" s="1" t="str">
        <f t="shared" si="1"/>
        <v>swing-05-a-3</v>
      </c>
      <c r="C42" s="2" t="s">
        <v>81</v>
      </c>
      <c r="D42" s="3">
        <v>153</v>
      </c>
      <c r="E42" s="3">
        <v>61</v>
      </c>
      <c r="F42" s="3">
        <v>40</v>
      </c>
      <c r="I42" s="1" t="str">
        <f t="shared" si="0"/>
        <v>153cm x 61cm x 40cm (H) x SH-cm</v>
      </c>
    </row>
    <row r="43" spans="1:9" x14ac:dyDescent="0.25">
      <c r="A43" s="1" t="s">
        <v>38</v>
      </c>
      <c r="B43" s="1" t="str">
        <f t="shared" si="1"/>
        <v>swing-09</v>
      </c>
      <c r="C43" s="2" t="s">
        <v>82</v>
      </c>
      <c r="D43" s="3">
        <v>153</v>
      </c>
      <c r="E43" s="3">
        <v>61</v>
      </c>
      <c r="F43" s="3">
        <v>58</v>
      </c>
      <c r="I43" s="1" t="str">
        <f t="shared" si="0"/>
        <v>153cm x 61cm x 58cm (H) x SH-cm</v>
      </c>
    </row>
    <row r="44" spans="1:9" x14ac:dyDescent="0.25">
      <c r="A44" s="1" t="s">
        <v>39</v>
      </c>
      <c r="B44" s="1" t="str">
        <f t="shared" si="1"/>
        <v>study-chair-56</v>
      </c>
      <c r="C44" s="2" t="s">
        <v>90</v>
      </c>
      <c r="D44" s="10"/>
      <c r="E44" s="10"/>
      <c r="F44" s="10"/>
      <c r="G44" s="10"/>
      <c r="H44" s="8"/>
      <c r="I44" s="8"/>
    </row>
  </sheetData>
  <autoFilter ref="A1:I36" xr:uid="{00000000-0009-0000-0000-000001000000}"/>
  <sortState xmlns:xlrd2="http://schemas.microsoft.com/office/spreadsheetml/2017/richdata2" ref="A2:I36">
    <sortCondition ref="A2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workbookViewId="0">
      <selection activeCell="D27" sqref="D27"/>
    </sheetView>
  </sheetViews>
  <sheetFormatPr defaultColWidth="9.140625" defaultRowHeight="15" x14ac:dyDescent="0.25"/>
  <cols>
    <col min="1" max="1" width="12.85546875" style="1" customWidth="1"/>
    <col min="2" max="2" width="20.5703125" style="1" customWidth="1"/>
    <col min="3" max="3" width="30" style="2" customWidth="1"/>
    <col min="4" max="6" width="11.28515625" style="3" customWidth="1"/>
    <col min="7" max="7" width="9.140625" style="3"/>
    <col min="8" max="8" width="9.140625" style="1"/>
    <col min="9" max="9" width="37" style="1" customWidth="1"/>
    <col min="10" max="16384" width="9.140625" style="1"/>
  </cols>
  <sheetData>
    <row r="1" spans="1:9" x14ac:dyDescent="0.25">
      <c r="A1" s="5" t="s">
        <v>35</v>
      </c>
      <c r="B1" s="5"/>
      <c r="C1" s="6" t="s">
        <v>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33</v>
      </c>
      <c r="I1" s="5" t="s">
        <v>47</v>
      </c>
    </row>
    <row r="2" spans="1:9" x14ac:dyDescent="0.25">
      <c r="A2" s="1" t="s">
        <v>36</v>
      </c>
      <c r="B2" s="1" t="str">
        <f>SUBSTITUTE(LOWER(C2)," ","-")</f>
        <v>barstool-10-d</v>
      </c>
      <c r="C2" s="2" t="s">
        <v>100</v>
      </c>
      <c r="D2" s="3">
        <v>41</v>
      </c>
      <c r="E2" s="3">
        <v>48</v>
      </c>
      <c r="F2" s="3">
        <v>101</v>
      </c>
      <c r="G2" s="3">
        <v>75</v>
      </c>
      <c r="I2" t="str">
        <f t="shared" ref="I2:I35" si="0">D2 &amp; "cm x " &amp; E2 &amp; "cm x " &amp; F2 &amp; "cm (H) x SH-" &amp; G2 &amp; "cm"</f>
        <v>41cm x 48cm x 101cm (H) x SH-75cm</v>
      </c>
    </row>
    <row r="3" spans="1:9" x14ac:dyDescent="0.25">
      <c r="A3" s="1" t="s">
        <v>36</v>
      </c>
      <c r="B3" s="1" t="str">
        <f t="shared" ref="B3:B46" si="1">SUBSTITUTE(LOWER(C3)," ","-")</f>
        <v>barstool-16</v>
      </c>
      <c r="C3" s="2" t="s">
        <v>93</v>
      </c>
      <c r="D3" s="3">
        <v>43</v>
      </c>
      <c r="E3" s="3">
        <v>46</v>
      </c>
      <c r="F3" s="3">
        <v>99</v>
      </c>
      <c r="G3" s="3">
        <v>75</v>
      </c>
      <c r="I3" t="str">
        <f t="shared" si="0"/>
        <v>43cm x 46cm x 99cm (H) x SH-75cm</v>
      </c>
    </row>
    <row r="4" spans="1:9" x14ac:dyDescent="0.25">
      <c r="A4" s="1" t="s">
        <v>37</v>
      </c>
      <c r="B4" s="1" t="str">
        <f t="shared" si="1"/>
        <v>bed-27-a</v>
      </c>
      <c r="C4" s="2" t="s">
        <v>51</v>
      </c>
      <c r="D4" s="3">
        <v>291</v>
      </c>
      <c r="E4" s="3">
        <v>210</v>
      </c>
      <c r="F4" s="3">
        <v>105</v>
      </c>
      <c r="H4" s="1">
        <v>42</v>
      </c>
      <c r="I4" t="str">
        <f t="shared" si="0"/>
        <v>291cm x 210cm x 105cm (H) x SH-cm</v>
      </c>
    </row>
    <row r="5" spans="1:9" x14ac:dyDescent="0.25">
      <c r="A5" s="1" t="s">
        <v>37</v>
      </c>
      <c r="B5" s="1" t="str">
        <f t="shared" si="1"/>
        <v>bed-44-e</v>
      </c>
      <c r="C5" s="2" t="s">
        <v>94</v>
      </c>
      <c r="D5" s="3">
        <v>195</v>
      </c>
      <c r="E5" s="3">
        <v>211</v>
      </c>
      <c r="F5" s="3">
        <v>109</v>
      </c>
      <c r="H5" s="1">
        <v>50</v>
      </c>
      <c r="I5" t="str">
        <f t="shared" si="0"/>
        <v>195cm x 211cm x 109cm (H) x SH-cm</v>
      </c>
    </row>
    <row r="6" spans="1:9" x14ac:dyDescent="0.25">
      <c r="A6" s="1" t="s">
        <v>37</v>
      </c>
      <c r="B6" s="1" t="str">
        <f t="shared" si="1"/>
        <v>bed-51-h</v>
      </c>
      <c r="C6" s="2" t="s">
        <v>95</v>
      </c>
      <c r="D6" s="3">
        <v>165</v>
      </c>
      <c r="E6" s="3">
        <v>213</v>
      </c>
      <c r="F6" s="3">
        <v>92.5</v>
      </c>
      <c r="H6" s="1">
        <v>45</v>
      </c>
      <c r="I6" t="str">
        <f t="shared" si="0"/>
        <v>165cm x 213cm x 92.5cm (H) x SH-cm</v>
      </c>
    </row>
    <row r="7" spans="1:9" x14ac:dyDescent="0.25">
      <c r="A7" s="1" t="s">
        <v>38</v>
      </c>
      <c r="B7" s="1" t="str">
        <f t="shared" si="1"/>
        <v>bench-25-a</v>
      </c>
      <c r="C7" s="2" t="s">
        <v>99</v>
      </c>
      <c r="D7" s="3">
        <v>128</v>
      </c>
      <c r="E7" s="3">
        <v>55</v>
      </c>
      <c r="F7" s="3">
        <v>66</v>
      </c>
      <c r="G7" s="3">
        <v>44</v>
      </c>
      <c r="I7" t="str">
        <f t="shared" si="0"/>
        <v>128cm x 55cm x 66cm (H) x SH-44cm</v>
      </c>
    </row>
    <row r="8" spans="1:9" x14ac:dyDescent="0.25">
      <c r="A8" s="1" t="s">
        <v>38</v>
      </c>
      <c r="B8" s="1" t="str">
        <f t="shared" si="1"/>
        <v>bench-31</v>
      </c>
      <c r="C8" s="2" t="s">
        <v>98</v>
      </c>
      <c r="D8" s="3">
        <v>155</v>
      </c>
      <c r="E8" s="3">
        <v>65</v>
      </c>
      <c r="F8" s="3">
        <v>64</v>
      </c>
      <c r="G8" s="3">
        <v>44</v>
      </c>
      <c r="I8" t="str">
        <f t="shared" si="0"/>
        <v>155cm x 65cm x 64cm (H) x SH-44cm</v>
      </c>
    </row>
    <row r="9" spans="1:9" x14ac:dyDescent="0.25">
      <c r="A9" s="1" t="s">
        <v>38</v>
      </c>
      <c r="B9" s="1" t="str">
        <f t="shared" si="1"/>
        <v>bench-32</v>
      </c>
      <c r="C9" s="2" t="s">
        <v>101</v>
      </c>
      <c r="D9" s="3">
        <v>104</v>
      </c>
      <c r="E9" s="3">
        <v>47</v>
      </c>
      <c r="F9" s="3">
        <v>71</v>
      </c>
      <c r="G9" s="3">
        <v>44.5</v>
      </c>
      <c r="I9" t="str">
        <f t="shared" si="0"/>
        <v>104cm x 47cm x 71cm (H) x SH-44.5cm</v>
      </c>
    </row>
    <row r="10" spans="1:9" x14ac:dyDescent="0.25">
      <c r="A10" s="1" t="s">
        <v>38</v>
      </c>
      <c r="B10" s="1" t="str">
        <f t="shared" si="1"/>
        <v>centre-table-12</v>
      </c>
      <c r="C10" s="2" t="s">
        <v>102</v>
      </c>
      <c r="D10" s="3">
        <v>127</v>
      </c>
      <c r="E10" s="3">
        <v>66</v>
      </c>
      <c r="F10" s="3">
        <v>48</v>
      </c>
      <c r="I10" t="str">
        <f t="shared" si="0"/>
        <v>127cm x 66cm x 48cm (H) x SH-cm</v>
      </c>
    </row>
    <row r="11" spans="1:9" x14ac:dyDescent="0.25">
      <c r="A11" s="1" t="s">
        <v>38</v>
      </c>
      <c r="B11" s="1" t="str">
        <f t="shared" si="1"/>
        <v>centre-table-14</v>
      </c>
      <c r="C11" s="2" t="s">
        <v>103</v>
      </c>
      <c r="D11" s="3">
        <v>117</v>
      </c>
      <c r="E11" s="3">
        <v>50</v>
      </c>
      <c r="F11" s="3">
        <v>45</v>
      </c>
      <c r="I11" t="str">
        <f t="shared" si="0"/>
        <v>117cm x 50cm x 45cm (H) x SH-cm</v>
      </c>
    </row>
    <row r="12" spans="1:9" x14ac:dyDescent="0.25">
      <c r="A12" s="1" t="s">
        <v>38</v>
      </c>
      <c r="B12" s="1" t="str">
        <f t="shared" si="1"/>
        <v>centre-table-18</v>
      </c>
      <c r="C12" s="2" t="s">
        <v>104</v>
      </c>
      <c r="D12" s="3">
        <v>73</v>
      </c>
      <c r="E12" s="3">
        <v>73</v>
      </c>
      <c r="F12" s="3">
        <v>32</v>
      </c>
      <c r="I12" t="str">
        <f t="shared" si="0"/>
        <v>73cm x 73cm x 32cm (H) x SH-cm</v>
      </c>
    </row>
    <row r="13" spans="1:9" x14ac:dyDescent="0.25">
      <c r="A13" s="1" t="s">
        <v>36</v>
      </c>
      <c r="B13" s="1" t="str">
        <f t="shared" si="1"/>
        <v>chair-30-a</v>
      </c>
      <c r="C13" s="2" t="s">
        <v>105</v>
      </c>
      <c r="D13" s="3">
        <v>46</v>
      </c>
      <c r="E13" s="3">
        <v>55</v>
      </c>
      <c r="F13" s="3">
        <v>80</v>
      </c>
      <c r="G13" s="3">
        <v>45</v>
      </c>
      <c r="I13" t="str">
        <f t="shared" si="0"/>
        <v>46cm x 55cm x 80cm (H) x SH-45cm</v>
      </c>
    </row>
    <row r="14" spans="1:9" x14ac:dyDescent="0.25">
      <c r="A14" s="1" t="s">
        <v>38</v>
      </c>
      <c r="B14" s="1" t="str">
        <f t="shared" si="1"/>
        <v>chair-40-a</v>
      </c>
      <c r="C14" s="2" t="s">
        <v>96</v>
      </c>
      <c r="D14" s="3">
        <v>66</v>
      </c>
      <c r="E14" s="3">
        <v>78</v>
      </c>
      <c r="F14" s="3">
        <v>76</v>
      </c>
      <c r="G14" s="3">
        <v>42.5</v>
      </c>
      <c r="I14" t="str">
        <f t="shared" si="0"/>
        <v>66cm x 78cm x 76cm (H) x SH-42.5cm</v>
      </c>
    </row>
    <row r="15" spans="1:9" x14ac:dyDescent="0.25">
      <c r="A15" s="1" t="s">
        <v>38</v>
      </c>
      <c r="B15" s="1" t="str">
        <f t="shared" si="1"/>
        <v>chair-46-b</v>
      </c>
      <c r="C15" s="2" t="s">
        <v>106</v>
      </c>
      <c r="D15" s="3">
        <v>59</v>
      </c>
      <c r="E15" s="3">
        <v>56</v>
      </c>
      <c r="F15" s="3">
        <v>76</v>
      </c>
      <c r="G15" s="3">
        <v>45</v>
      </c>
      <c r="I15" t="str">
        <f t="shared" si="0"/>
        <v>59cm x 56cm x 76cm (H) x SH-45cm</v>
      </c>
    </row>
    <row r="16" spans="1:9" x14ac:dyDescent="0.25">
      <c r="A16" s="1" t="s">
        <v>36</v>
      </c>
      <c r="B16" s="1" t="str">
        <f t="shared" si="1"/>
        <v>dining-table-14</v>
      </c>
      <c r="C16" s="2" t="s">
        <v>107</v>
      </c>
      <c r="D16" s="3">
        <v>106</v>
      </c>
      <c r="E16" s="3">
        <v>106</v>
      </c>
      <c r="F16" s="3">
        <v>76</v>
      </c>
      <c r="I16" t="str">
        <f t="shared" si="0"/>
        <v>106cm x 106cm x 76cm (H) x SH-cm</v>
      </c>
    </row>
    <row r="17" spans="1:9" x14ac:dyDescent="0.25">
      <c r="D17" s="3">
        <v>152</v>
      </c>
      <c r="E17" s="3">
        <v>106</v>
      </c>
      <c r="F17" s="3">
        <v>76</v>
      </c>
      <c r="I17" t="str">
        <f t="shared" si="0"/>
        <v>152cm x 106cm x 76cm (H) x SH-cm</v>
      </c>
    </row>
    <row r="18" spans="1:9" x14ac:dyDescent="0.25">
      <c r="A18" s="1" t="s">
        <v>36</v>
      </c>
      <c r="B18" s="1" t="str">
        <f t="shared" si="1"/>
        <v>dining-table-33</v>
      </c>
      <c r="C18" s="2" t="s">
        <v>108</v>
      </c>
      <c r="D18" s="3">
        <v>136</v>
      </c>
      <c r="E18" s="3">
        <v>136</v>
      </c>
      <c r="F18" s="3">
        <v>76</v>
      </c>
      <c r="I18" t="str">
        <f t="shared" si="0"/>
        <v>136cm x 136cm x 76cm (H) x SH-cm</v>
      </c>
    </row>
    <row r="19" spans="1:9" x14ac:dyDescent="0.25">
      <c r="A19" s="1" t="s">
        <v>37</v>
      </c>
      <c r="B19" s="1" t="str">
        <f t="shared" si="1"/>
        <v>dresser-01</v>
      </c>
      <c r="C19" s="2" t="s">
        <v>109</v>
      </c>
      <c r="D19" s="3">
        <v>110</v>
      </c>
      <c r="E19" s="3">
        <v>42</v>
      </c>
      <c r="F19" s="3">
        <v>134</v>
      </c>
      <c r="I19" t="str">
        <f t="shared" si="0"/>
        <v>110cm x 42cm x 134cm (H) x SH-cm</v>
      </c>
    </row>
    <row r="20" spans="1:9" x14ac:dyDescent="0.25">
      <c r="A20" s="1" t="s">
        <v>38</v>
      </c>
      <c r="B20" s="1" t="str">
        <f t="shared" si="1"/>
        <v>foyer-table-12</v>
      </c>
      <c r="C20" s="2" t="s">
        <v>110</v>
      </c>
      <c r="D20" s="3">
        <v>102</v>
      </c>
      <c r="E20" s="3">
        <v>36</v>
      </c>
      <c r="F20" s="3">
        <v>92</v>
      </c>
      <c r="I20" t="str">
        <f t="shared" si="0"/>
        <v>102cm x 36cm x 92cm (H) x SH-cm</v>
      </c>
    </row>
    <row r="21" spans="1:9" x14ac:dyDescent="0.25">
      <c r="A21" s="1" t="s">
        <v>38</v>
      </c>
      <c r="B21" s="1" t="str">
        <f t="shared" si="1"/>
        <v>side-table-16-b</v>
      </c>
      <c r="C21" s="2" t="s">
        <v>111</v>
      </c>
      <c r="D21" s="3">
        <v>35</v>
      </c>
      <c r="E21" s="3">
        <v>35</v>
      </c>
      <c r="F21" s="3">
        <v>54</v>
      </c>
      <c r="I21" t="str">
        <f t="shared" si="0"/>
        <v>35cm x 35cm x 54cm (H) x SH-cm</v>
      </c>
    </row>
    <row r="22" spans="1:9" x14ac:dyDescent="0.25">
      <c r="A22" s="1" t="s">
        <v>37</v>
      </c>
      <c r="B22" s="1" t="str">
        <f t="shared" si="1"/>
        <v>side-table-43-b</v>
      </c>
      <c r="C22" s="2" t="s">
        <v>112</v>
      </c>
      <c r="D22" s="3">
        <v>57</v>
      </c>
      <c r="E22" s="3">
        <v>42</v>
      </c>
      <c r="F22" s="3">
        <v>41</v>
      </c>
      <c r="I22" t="str">
        <f t="shared" si="0"/>
        <v>57cm x 42cm x 41cm (H) x SH-cm</v>
      </c>
    </row>
    <row r="23" spans="1:9" x14ac:dyDescent="0.25">
      <c r="A23" s="1" t="s">
        <v>38</v>
      </c>
      <c r="B23" s="1" t="str">
        <f t="shared" si="1"/>
        <v>side-table-44-b</v>
      </c>
      <c r="C23" s="2" t="s">
        <v>113</v>
      </c>
      <c r="D23" s="3">
        <v>37</v>
      </c>
      <c r="E23" s="3">
        <v>37</v>
      </c>
      <c r="F23" s="3">
        <v>30</v>
      </c>
      <c r="I23" t="str">
        <f t="shared" si="0"/>
        <v>37cm x 37cm x 30cm (H) x SH-cm</v>
      </c>
    </row>
    <row r="24" spans="1:9" x14ac:dyDescent="0.25">
      <c r="A24" s="1" t="s">
        <v>37</v>
      </c>
      <c r="B24" s="1" t="str">
        <f t="shared" si="1"/>
        <v>side-table-46</v>
      </c>
      <c r="C24" s="2" t="s">
        <v>114</v>
      </c>
      <c r="D24" s="3">
        <v>54</v>
      </c>
      <c r="E24" s="3">
        <v>47</v>
      </c>
      <c r="F24" s="3">
        <v>55</v>
      </c>
      <c r="I24" t="str">
        <f t="shared" si="0"/>
        <v>54cm x 47cm x 55cm (H) x SH-cm</v>
      </c>
    </row>
    <row r="25" spans="1:9" x14ac:dyDescent="0.25">
      <c r="A25" s="1" t="s">
        <v>37</v>
      </c>
      <c r="B25" s="1" t="str">
        <f t="shared" si="1"/>
        <v>side-table-50</v>
      </c>
      <c r="C25" s="2" t="s">
        <v>115</v>
      </c>
      <c r="D25" s="3">
        <v>50</v>
      </c>
      <c r="E25" s="3">
        <v>41</v>
      </c>
      <c r="F25" s="3">
        <v>52</v>
      </c>
      <c r="I25" t="str">
        <f t="shared" si="0"/>
        <v>50cm x 41cm x 52cm (H) x SH-cm</v>
      </c>
    </row>
    <row r="26" spans="1:9" x14ac:dyDescent="0.25">
      <c r="A26" s="1" t="s">
        <v>38</v>
      </c>
      <c r="B26" s="1" t="str">
        <f t="shared" si="1"/>
        <v>side-table-55</v>
      </c>
      <c r="C26" s="2" t="s">
        <v>116</v>
      </c>
      <c r="D26" s="3">
        <v>52</v>
      </c>
      <c r="E26" s="3">
        <v>46</v>
      </c>
      <c r="F26" s="3">
        <v>50</v>
      </c>
      <c r="I26" t="str">
        <f t="shared" si="0"/>
        <v>52cm x 46cm x 50cm (H) x SH-cm</v>
      </c>
    </row>
    <row r="27" spans="1:9" x14ac:dyDescent="0.25">
      <c r="A27" s="1" t="s">
        <v>38</v>
      </c>
      <c r="B27" s="1" t="str">
        <f t="shared" si="1"/>
        <v>sofa-28-a</v>
      </c>
      <c r="C27" s="2" t="s">
        <v>117</v>
      </c>
      <c r="D27" s="3">
        <v>205</v>
      </c>
      <c r="E27" s="3">
        <v>75</v>
      </c>
      <c r="F27" s="3">
        <v>83</v>
      </c>
      <c r="G27" s="3">
        <v>41</v>
      </c>
      <c r="I27" t="str">
        <f t="shared" si="0"/>
        <v>205cm x 75cm x 83cm (H) x SH-41cm</v>
      </c>
    </row>
    <row r="28" spans="1:9" x14ac:dyDescent="0.25">
      <c r="D28" s="3">
        <v>102</v>
      </c>
      <c r="E28" s="3">
        <v>63</v>
      </c>
      <c r="F28" s="3">
        <v>41</v>
      </c>
      <c r="I28"/>
    </row>
    <row r="29" spans="1:9" x14ac:dyDescent="0.25">
      <c r="A29" s="1" t="s">
        <v>38</v>
      </c>
      <c r="B29" s="1" t="str">
        <f t="shared" si="1"/>
        <v>sofa-31-b</v>
      </c>
      <c r="C29" s="2" t="s">
        <v>118</v>
      </c>
      <c r="D29" s="3">
        <v>235</v>
      </c>
      <c r="E29" s="3">
        <v>75</v>
      </c>
      <c r="F29" s="3">
        <v>86</v>
      </c>
      <c r="G29" s="3">
        <v>43</v>
      </c>
      <c r="I29" t="str">
        <f t="shared" si="0"/>
        <v>235cm x 75cm x 86cm (H) x SH-43cm</v>
      </c>
    </row>
    <row r="30" spans="1:9" x14ac:dyDescent="0.25">
      <c r="A30" s="1" t="s">
        <v>38</v>
      </c>
      <c r="B30" s="1" t="str">
        <f t="shared" si="1"/>
        <v>sofa-33</v>
      </c>
      <c r="C30" s="2" t="s">
        <v>119</v>
      </c>
      <c r="D30" s="4">
        <v>187</v>
      </c>
      <c r="E30" s="3">
        <v>78</v>
      </c>
      <c r="F30" s="3">
        <v>82</v>
      </c>
      <c r="G30" s="3">
        <v>43</v>
      </c>
      <c r="I30" t="str">
        <f t="shared" si="0"/>
        <v>187cm x 78cm x 82cm (H) x SH-43cm</v>
      </c>
    </row>
    <row r="31" spans="1:9" x14ac:dyDescent="0.25">
      <c r="A31" s="1" t="s">
        <v>38</v>
      </c>
      <c r="B31" s="1" t="str">
        <f t="shared" si="1"/>
        <v>storage-unit-14-b</v>
      </c>
      <c r="C31" s="2" t="s">
        <v>97</v>
      </c>
      <c r="D31" s="3">
        <v>115</v>
      </c>
      <c r="E31" s="3">
        <v>40.5</v>
      </c>
      <c r="F31" s="3">
        <v>77</v>
      </c>
      <c r="I31" t="str">
        <f t="shared" si="0"/>
        <v>115cm x 40.5cm x 77cm (H) x SH-cm</v>
      </c>
    </row>
    <row r="32" spans="1:9" x14ac:dyDescent="0.25">
      <c r="A32" s="1" t="s">
        <v>39</v>
      </c>
      <c r="B32" s="1" t="str">
        <f t="shared" si="1"/>
        <v>study-table-23</v>
      </c>
      <c r="C32" s="2" t="s">
        <v>120</v>
      </c>
      <c r="D32" s="3">
        <v>141</v>
      </c>
      <c r="E32" s="3">
        <v>55</v>
      </c>
      <c r="F32" s="3">
        <v>76</v>
      </c>
      <c r="I32" t="str">
        <f t="shared" si="0"/>
        <v>141cm x 55cm x 76cm (H) x SH-cm</v>
      </c>
    </row>
    <row r="33" spans="1:9" x14ac:dyDescent="0.25">
      <c r="A33" s="1" t="s">
        <v>38</v>
      </c>
      <c r="B33" s="1" t="str">
        <f t="shared" si="1"/>
        <v>swing-07-a</v>
      </c>
      <c r="C33" s="2" t="s">
        <v>121</v>
      </c>
      <c r="D33" s="3">
        <v>137</v>
      </c>
      <c r="E33" s="3">
        <v>64</v>
      </c>
      <c r="F33" s="3">
        <v>49</v>
      </c>
      <c r="I33" t="str">
        <f t="shared" si="0"/>
        <v>137cm x 64cm x 49cm (H) x SH-cm</v>
      </c>
    </row>
    <row r="34" spans="1:9" x14ac:dyDescent="0.25">
      <c r="A34" s="1" t="s">
        <v>38</v>
      </c>
      <c r="B34" s="1" t="str">
        <f t="shared" si="1"/>
        <v>swing-12-a</v>
      </c>
      <c r="C34" s="2" t="s">
        <v>122</v>
      </c>
      <c r="D34" s="3">
        <v>153</v>
      </c>
      <c r="E34" s="3">
        <v>61</v>
      </c>
      <c r="F34" s="3">
        <v>40</v>
      </c>
      <c r="I34" t="str">
        <f t="shared" si="0"/>
        <v>153cm x 61cm x 40cm (H) x SH-cm</v>
      </c>
    </row>
    <row r="35" spans="1:9" x14ac:dyDescent="0.25">
      <c r="A35" s="1" t="s">
        <v>38</v>
      </c>
      <c r="B35" s="1" t="str">
        <f t="shared" si="1"/>
        <v>tv-unit-15-a</v>
      </c>
      <c r="C35" s="2" t="s">
        <v>123</v>
      </c>
      <c r="D35" s="3">
        <v>153</v>
      </c>
      <c r="E35" s="3">
        <v>45</v>
      </c>
      <c r="F35" s="3">
        <v>60</v>
      </c>
      <c r="I35" t="str">
        <f t="shared" si="0"/>
        <v>153cm x 45cm x 60cm (H) x SH-cm</v>
      </c>
    </row>
    <row r="36" spans="1:9" x14ac:dyDescent="0.25">
      <c r="B36" s="1" t="str">
        <f t="shared" si="1"/>
        <v/>
      </c>
      <c r="I36"/>
    </row>
    <row r="37" spans="1:9" x14ac:dyDescent="0.25">
      <c r="B37" s="1" t="str">
        <f t="shared" si="1"/>
        <v/>
      </c>
      <c r="I37"/>
    </row>
    <row r="38" spans="1:9" x14ac:dyDescent="0.25">
      <c r="B38" s="1" t="str">
        <f t="shared" si="1"/>
        <v/>
      </c>
      <c r="I38"/>
    </row>
    <row r="39" spans="1:9" x14ac:dyDescent="0.25">
      <c r="B39" s="1" t="str">
        <f t="shared" si="1"/>
        <v/>
      </c>
    </row>
    <row r="40" spans="1:9" x14ac:dyDescent="0.25">
      <c r="B40" s="1" t="str">
        <f t="shared" si="1"/>
        <v/>
      </c>
    </row>
    <row r="41" spans="1:9" x14ac:dyDescent="0.25">
      <c r="B41" s="1" t="str">
        <f t="shared" si="1"/>
        <v/>
      </c>
    </row>
    <row r="42" spans="1:9" x14ac:dyDescent="0.25">
      <c r="B42" s="1" t="str">
        <f t="shared" si="1"/>
        <v/>
      </c>
    </row>
    <row r="43" spans="1:9" x14ac:dyDescent="0.25">
      <c r="B43" s="1" t="str">
        <f t="shared" si="1"/>
        <v/>
      </c>
    </row>
    <row r="44" spans="1:9" x14ac:dyDescent="0.25">
      <c r="B44" s="1" t="str">
        <f t="shared" si="1"/>
        <v/>
      </c>
    </row>
    <row r="45" spans="1:9" x14ac:dyDescent="0.25">
      <c r="B45" s="1" t="str">
        <f t="shared" si="1"/>
        <v/>
      </c>
    </row>
    <row r="46" spans="1:9" x14ac:dyDescent="0.25">
      <c r="B46" s="1" t="str">
        <f t="shared" si="1"/>
        <v/>
      </c>
    </row>
  </sheetData>
  <autoFilter ref="A1:I3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OfStillness</vt:lpstr>
      <vt:lpstr>Ofmemories</vt:lpstr>
      <vt:lpstr>Theme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Pranav Raghunath</cp:lastModifiedBy>
  <dcterms:created xsi:type="dcterms:W3CDTF">2015-06-05T18:17:20Z</dcterms:created>
  <dcterms:modified xsi:type="dcterms:W3CDTF">2026-05-28T09:05:22Z</dcterms:modified>
</cp:coreProperties>
</file>